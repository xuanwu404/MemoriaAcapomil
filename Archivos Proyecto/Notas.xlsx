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vara\Desktop\Clases\ACAPOMIL\Bases de Datos Sist Armas\Evaluaciones\Evaluación 1\"/>
    </mc:Choice>
  </mc:AlternateContent>
  <xr:revisionPtr revIDLastSave="0" documentId="13_ncr:1_{FABCC2D9-7E90-4DAB-BFF1-9B0DFE9B7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ntajes" sheetId="1" r:id="rId1"/>
    <sheet name="Indicadores de desempeño" sheetId="3" r:id="rId2"/>
    <sheet name="Not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3" l="1"/>
  <c r="O18" i="3"/>
  <c r="N18" i="3"/>
  <c r="M18" i="3"/>
  <c r="C18" i="3"/>
  <c r="B18" i="3"/>
  <c r="C17" i="3"/>
  <c r="D17" i="3"/>
  <c r="E17" i="3"/>
  <c r="F17" i="3"/>
  <c r="B17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B16" i="3"/>
  <c r="AM19" i="3"/>
  <c r="AO4" i="3"/>
  <c r="AP4" i="3"/>
  <c r="AQ4" i="3"/>
  <c r="AR4" i="3"/>
  <c r="AS4" i="3"/>
  <c r="AT4" i="3"/>
  <c r="AV4" i="3"/>
  <c r="AW4" i="3"/>
  <c r="AX4" i="3"/>
  <c r="AO5" i="3"/>
  <c r="AP5" i="3"/>
  <c r="AQ5" i="3"/>
  <c r="AR5" i="3"/>
  <c r="AS5" i="3"/>
  <c r="AT5" i="3"/>
  <c r="AV5" i="3"/>
  <c r="AW5" i="3"/>
  <c r="AX5" i="3"/>
  <c r="AO6" i="3"/>
  <c r="AP6" i="3"/>
  <c r="AQ6" i="3"/>
  <c r="AR6" i="3"/>
  <c r="AS6" i="3"/>
  <c r="AT6" i="3"/>
  <c r="AV6" i="3"/>
  <c r="AW6" i="3"/>
  <c r="AX6" i="3"/>
  <c r="AO7" i="3"/>
  <c r="AP7" i="3"/>
  <c r="AQ7" i="3"/>
  <c r="AR7" i="3"/>
  <c r="AS7" i="3"/>
  <c r="AT7" i="3"/>
  <c r="AV7" i="3"/>
  <c r="AW7" i="3"/>
  <c r="AX7" i="3"/>
  <c r="AO8" i="3"/>
  <c r="AW8" i="3"/>
  <c r="AX8" i="3"/>
  <c r="AO9" i="3"/>
  <c r="AP9" i="3"/>
  <c r="AQ9" i="3"/>
  <c r="AR9" i="3"/>
  <c r="AT9" i="3"/>
  <c r="AV9" i="3"/>
  <c r="AX9" i="3"/>
  <c r="AO10" i="3"/>
  <c r="AP10" i="3"/>
  <c r="AR10" i="3"/>
  <c r="AS10" i="3"/>
  <c r="AT10" i="3"/>
  <c r="AV10" i="3"/>
  <c r="AW10" i="3"/>
  <c r="AX10" i="3"/>
  <c r="AO11" i="3"/>
  <c r="AP11" i="3"/>
  <c r="AR11" i="3"/>
  <c r="AS11" i="3"/>
  <c r="AT11" i="3"/>
  <c r="AV11" i="3"/>
  <c r="AW11" i="3"/>
  <c r="AO12" i="3"/>
  <c r="AP12" i="3"/>
  <c r="AQ12" i="3"/>
  <c r="AR12" i="3"/>
  <c r="AS12" i="3"/>
  <c r="AT12" i="3"/>
  <c r="AV12" i="3"/>
  <c r="AW12" i="3"/>
  <c r="AX12" i="3"/>
  <c r="AO13" i="3"/>
  <c r="AP13" i="3"/>
  <c r="AQ13" i="3"/>
  <c r="AR13" i="3"/>
  <c r="AS13" i="3"/>
  <c r="AT13" i="3"/>
  <c r="AV13" i="3"/>
  <c r="AW13" i="3"/>
  <c r="AX13" i="3"/>
  <c r="AP3" i="3"/>
  <c r="AQ3" i="3"/>
  <c r="AR3" i="3"/>
  <c r="AS3" i="3"/>
  <c r="AT3" i="3"/>
  <c r="AV3" i="3"/>
  <c r="AW3" i="3"/>
  <c r="AX3" i="3"/>
  <c r="AO3" i="3"/>
  <c r="AM18" i="3"/>
  <c r="AC3" i="3"/>
  <c r="AC4" i="3"/>
  <c r="AD4" i="3"/>
  <c r="AE4" i="3"/>
  <c r="AF4" i="3"/>
  <c r="AG4" i="3"/>
  <c r="AH4" i="3"/>
  <c r="AI4" i="3"/>
  <c r="AU4" i="3" s="1"/>
  <c r="AJ4" i="3"/>
  <c r="AK4" i="3"/>
  <c r="AL4" i="3"/>
  <c r="AC5" i="3"/>
  <c r="AD5" i="3"/>
  <c r="AE5" i="3"/>
  <c r="AF5" i="3"/>
  <c r="AG5" i="3"/>
  <c r="AH5" i="3"/>
  <c r="AI5" i="3"/>
  <c r="AU5" i="3" s="1"/>
  <c r="AJ5" i="3"/>
  <c r="AK5" i="3"/>
  <c r="AL5" i="3"/>
  <c r="AC6" i="3"/>
  <c r="AD6" i="3"/>
  <c r="AE6" i="3"/>
  <c r="AF6" i="3"/>
  <c r="AG6" i="3"/>
  <c r="AH6" i="3"/>
  <c r="AI6" i="3"/>
  <c r="AU6" i="3" s="1"/>
  <c r="AJ6" i="3"/>
  <c r="AK6" i="3"/>
  <c r="AL6" i="3"/>
  <c r="AC7" i="3"/>
  <c r="AD7" i="3"/>
  <c r="AE7" i="3"/>
  <c r="AF7" i="3"/>
  <c r="AG7" i="3"/>
  <c r="AH7" i="3"/>
  <c r="AI7" i="3"/>
  <c r="AU7" i="3" s="1"/>
  <c r="AJ7" i="3"/>
  <c r="AK7" i="3"/>
  <c r="AL7" i="3"/>
  <c r="AC8" i="3"/>
  <c r="AD8" i="3"/>
  <c r="AP8" i="3" s="1"/>
  <c r="AE8" i="3"/>
  <c r="AQ8" i="3" s="1"/>
  <c r="AF8" i="3"/>
  <c r="AR8" i="3" s="1"/>
  <c r="AG8" i="3"/>
  <c r="AS8" i="3" s="1"/>
  <c r="AH8" i="3"/>
  <c r="AT8" i="3" s="1"/>
  <c r="AI8" i="3"/>
  <c r="AU8" i="3" s="1"/>
  <c r="AJ8" i="3"/>
  <c r="AV8" i="3" s="1"/>
  <c r="AK8" i="3"/>
  <c r="AL8" i="3"/>
  <c r="AC9" i="3"/>
  <c r="AD9" i="3"/>
  <c r="AE9" i="3"/>
  <c r="AF9" i="3"/>
  <c r="AG9" i="3"/>
  <c r="AS9" i="3" s="1"/>
  <c r="AH9" i="3"/>
  <c r="AI9" i="3"/>
  <c r="AU9" i="3" s="1"/>
  <c r="AJ9" i="3"/>
  <c r="AK9" i="3"/>
  <c r="AW9" i="3" s="1"/>
  <c r="AL9" i="3"/>
  <c r="AC10" i="3"/>
  <c r="AD10" i="3"/>
  <c r="AE10" i="3"/>
  <c r="AQ10" i="3" s="1"/>
  <c r="AF10" i="3"/>
  <c r="AG10" i="3"/>
  <c r="AH10" i="3"/>
  <c r="AI10" i="3"/>
  <c r="AU10" i="3" s="1"/>
  <c r="AJ10" i="3"/>
  <c r="AK10" i="3"/>
  <c r="AL10" i="3"/>
  <c r="AC11" i="3"/>
  <c r="AD11" i="3"/>
  <c r="AE11" i="3"/>
  <c r="AQ11" i="3" s="1"/>
  <c r="AF11" i="3"/>
  <c r="AG11" i="3"/>
  <c r="AH11" i="3"/>
  <c r="AI11" i="3"/>
  <c r="AU11" i="3" s="1"/>
  <c r="AJ11" i="3"/>
  <c r="AK11" i="3"/>
  <c r="AL11" i="3"/>
  <c r="AX11" i="3" s="1"/>
  <c r="AC12" i="3"/>
  <c r="AD12" i="3"/>
  <c r="AE12" i="3"/>
  <c r="AF12" i="3"/>
  <c r="AG12" i="3"/>
  <c r="AH12" i="3"/>
  <c r="AI12" i="3"/>
  <c r="AU12" i="3" s="1"/>
  <c r="AJ12" i="3"/>
  <c r="AK12" i="3"/>
  <c r="AL12" i="3"/>
  <c r="AC13" i="3"/>
  <c r="AD13" i="3"/>
  <c r="AE13" i="3"/>
  <c r="AF13" i="3"/>
  <c r="AG13" i="3"/>
  <c r="AH13" i="3"/>
  <c r="AI13" i="3"/>
  <c r="AU13" i="3" s="1"/>
  <c r="AJ13" i="3"/>
  <c r="AK13" i="3"/>
  <c r="AL13" i="3"/>
  <c r="AL3" i="3"/>
  <c r="AE3" i="3"/>
  <c r="AG3" i="3"/>
  <c r="AK3" i="3"/>
  <c r="AH3" i="3"/>
  <c r="AD3" i="3"/>
  <c r="AI3" i="3"/>
  <c r="AU3" i="3" s="1"/>
  <c r="AJ3" i="3"/>
  <c r="AF3" i="3"/>
  <c r="E4" i="1"/>
  <c r="E5" i="1"/>
  <c r="E6" i="1"/>
  <c r="E7" i="1"/>
  <c r="E8" i="1"/>
  <c r="E9" i="1"/>
  <c r="E10" i="1"/>
  <c r="E11" i="1"/>
  <c r="E12" i="1"/>
  <c r="E13" i="1"/>
  <c r="E3" i="1"/>
  <c r="D4" i="1"/>
  <c r="D5" i="1"/>
  <c r="D6" i="1"/>
  <c r="D7" i="1"/>
  <c r="D8" i="1"/>
  <c r="D9" i="1"/>
  <c r="D10" i="1"/>
  <c r="D11" i="1"/>
  <c r="D12" i="1"/>
  <c r="D13" i="1"/>
  <c r="D3" i="1"/>
  <c r="H18" i="3" l="1"/>
  <c r="AM6" i="3"/>
  <c r="AY6" i="3" s="1"/>
  <c r="AM9" i="3"/>
  <c r="AY9" i="3" s="1"/>
  <c r="AM10" i="3"/>
  <c r="AY10" i="3" s="1"/>
  <c r="AM12" i="3"/>
  <c r="AY12" i="3" s="1"/>
  <c r="AM13" i="3"/>
  <c r="AY13" i="3" s="1"/>
  <c r="AM8" i="3"/>
  <c r="AY8" i="3" s="1"/>
  <c r="AM7" i="3"/>
  <c r="AY7" i="3" s="1"/>
  <c r="AM5" i="3"/>
  <c r="AY5" i="3" s="1"/>
  <c r="AM4" i="3"/>
  <c r="AY4" i="3" s="1"/>
  <c r="AM3" i="3"/>
  <c r="AY3" i="3" s="1"/>
  <c r="AM11" i="3"/>
  <c r="AY11" i="3" s="1"/>
  <c r="Z4" i="3" l="1"/>
  <c r="Z5" i="3"/>
  <c r="Z6" i="3"/>
  <c r="Z7" i="3"/>
  <c r="Z8" i="3"/>
  <c r="Z9" i="3"/>
  <c r="Z10" i="3"/>
  <c r="Z11" i="3"/>
  <c r="AA11" i="3" s="1"/>
  <c r="Z12" i="3"/>
  <c r="Z13" i="3"/>
  <c r="Z3" i="3"/>
  <c r="C9" i="1"/>
  <c r="C13" i="1"/>
  <c r="B6" i="1"/>
  <c r="B7" i="1"/>
  <c r="B11" i="1"/>
  <c r="B3" i="1"/>
  <c r="W4" i="3"/>
  <c r="W5" i="3"/>
  <c r="AA5" i="3" s="1"/>
  <c r="W6" i="3"/>
  <c r="AA6" i="3" s="1"/>
  <c r="W7" i="3"/>
  <c r="W8" i="3"/>
  <c r="W9" i="3"/>
  <c r="AA9" i="3" s="1"/>
  <c r="W10" i="3"/>
  <c r="W11" i="3"/>
  <c r="C11" i="1" s="1"/>
  <c r="W12" i="3"/>
  <c r="W13" i="3"/>
  <c r="AA13" i="3" s="1"/>
  <c r="W3" i="3"/>
  <c r="C3" i="1" s="1"/>
  <c r="Q13" i="3"/>
  <c r="B13" i="1" s="1"/>
  <c r="Q12" i="3"/>
  <c r="B12" i="1" s="1"/>
  <c r="Q11" i="3"/>
  <c r="Q10" i="3"/>
  <c r="B10" i="1" s="1"/>
  <c r="Q9" i="3"/>
  <c r="B9" i="1" s="1"/>
  <c r="Q8" i="3"/>
  <c r="B8" i="1" s="1"/>
  <c r="Q7" i="3"/>
  <c r="Q6" i="3"/>
  <c r="Q5" i="3"/>
  <c r="B5" i="1" s="1"/>
  <c r="Q4" i="3"/>
  <c r="B4" i="1" s="1"/>
  <c r="Q3" i="3"/>
  <c r="AA10" i="3" l="1"/>
  <c r="C6" i="1"/>
  <c r="J6" i="1"/>
  <c r="K6" i="1" s="1"/>
  <c r="J9" i="1"/>
  <c r="K9" i="1" s="1"/>
  <c r="C10" i="1"/>
  <c r="J10" i="1" s="1"/>
  <c r="K10" i="1" s="1"/>
  <c r="C12" i="1"/>
  <c r="J12" i="1" s="1"/>
  <c r="AA12" i="3"/>
  <c r="C8" i="1"/>
  <c r="J8" i="1" s="1"/>
  <c r="K8" i="1" s="1"/>
  <c r="AA8" i="3"/>
  <c r="C7" i="1"/>
  <c r="J7" i="1" s="1"/>
  <c r="K7" i="1" s="1"/>
  <c r="AA7" i="3"/>
  <c r="C5" i="1"/>
  <c r="J5" i="1" s="1"/>
  <c r="K5" i="1" s="1"/>
  <c r="C4" i="1"/>
  <c r="J4" i="1" s="1"/>
  <c r="K4" i="1" s="1"/>
  <c r="AA4" i="3"/>
  <c r="J13" i="1"/>
  <c r="K13" i="1" s="1"/>
  <c r="AA3" i="3"/>
  <c r="J11" i="1"/>
  <c r="K11" i="1" s="1"/>
  <c r="J3" i="1"/>
  <c r="K3" i="1" s="1"/>
  <c r="K12" i="1" l="1"/>
  <c r="J19" i="3" s="1"/>
  <c r="H19" i="3"/>
  <c r="K14" i="1"/>
  <c r="J14" i="1"/>
</calcChain>
</file>

<file path=xl/sharedStrings.xml><?xml version="1.0" encoding="utf-8"?>
<sst xmlns="http://schemas.openxmlformats.org/spreadsheetml/2006/main" count="133" uniqueCount="37">
  <si>
    <t>ALIAGA HERRERA CRISTIAN DANIEL</t>
  </si>
  <si>
    <t>DEL VALLE CAREVIC CARLOS MANUEL</t>
  </si>
  <si>
    <t>GAETE CHAVEZ ANGELO SEBASTIAN</t>
  </si>
  <si>
    <t>HUENTUTRIPAI FUENTEALBA THIARE DANIELA</t>
  </si>
  <si>
    <t>NAVIA BARRERA JUAN IGNACIO</t>
  </si>
  <si>
    <t>NUÑEZ SOTO CRISTIÁN AUGUSTO</t>
  </si>
  <si>
    <t>SALGADO VIDAL DIEGO IGNACIO</t>
  </si>
  <si>
    <t>VASQUEZ GOMEZ NICOLAS HERNAN</t>
  </si>
  <si>
    <t>VEROIZA AVELLO FELIPE ANDRÉS</t>
  </si>
  <si>
    <t>ZULOAGA RIVERA ALONSO ANTONIO</t>
  </si>
  <si>
    <t>ZUÑIGA FICA ROBERTO NICOLÁS</t>
  </si>
  <si>
    <t>NOMBRE</t>
  </si>
  <si>
    <t>PUNTAJES</t>
  </si>
  <si>
    <t>ITEM I</t>
  </si>
  <si>
    <t>ITEM II</t>
  </si>
  <si>
    <t>ITEM III</t>
  </si>
  <si>
    <t>ITEM III.1</t>
  </si>
  <si>
    <t>ITEM III.2</t>
  </si>
  <si>
    <t>BONUS</t>
  </si>
  <si>
    <t>TOTAL</t>
  </si>
  <si>
    <t>NOTA</t>
  </si>
  <si>
    <t>Puntaje</t>
  </si>
  <si>
    <t>Nota</t>
  </si>
  <si>
    <t>T</t>
  </si>
  <si>
    <t>X</t>
  </si>
  <si>
    <t>R4.1</t>
  </si>
  <si>
    <t>IE 1</t>
  </si>
  <si>
    <t>IE2</t>
  </si>
  <si>
    <t>R4.2</t>
  </si>
  <si>
    <t>R4.3</t>
  </si>
  <si>
    <t>IE 3</t>
  </si>
  <si>
    <t>R4.4</t>
  </si>
  <si>
    <t>R4.5</t>
  </si>
  <si>
    <t>IE4</t>
  </si>
  <si>
    <t>PUNTAJES MÁXIMOS</t>
  </si>
  <si>
    <t>PREGUNTAS</t>
  </si>
  <si>
    <t>III.2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</si>
</sst>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4"/>
  <sheetViews>
    <sheetView tabSelected="1" zoomScale="130" zoomScaleNormal="130" workbookViewId="0">
      <selection activeCell="M4" sqref="M4"/>
    </sheetView>
  </sheetViews>
  <sheetFormatPr baseColWidth="10" defaultColWidth="8.7265625" defaultRowHeight="14.5" x14ac:dyDescent="0.35"/>
  <cols>
    <col min="1" max="1" width="39.6328125" customWidth="1"/>
    <col min="6" max="6" width="4.453125" customWidth="1"/>
    <col min="7" max="9" width="4.453125" style="1" customWidth="1"/>
  </cols>
  <sheetData>
    <row r="1" spans="1:12" x14ac:dyDescent="0.35">
      <c r="A1" s="16" t="s">
        <v>11</v>
      </c>
      <c r="B1" s="16" t="s">
        <v>12</v>
      </c>
      <c r="C1" s="16"/>
      <c r="D1" s="16"/>
      <c r="E1" s="16"/>
      <c r="F1" s="17" t="s">
        <v>18</v>
      </c>
      <c r="G1" s="18"/>
      <c r="H1" s="18"/>
      <c r="I1" s="19"/>
      <c r="J1" s="16" t="s">
        <v>19</v>
      </c>
      <c r="K1" s="16" t="s">
        <v>20</v>
      </c>
    </row>
    <row r="2" spans="1:12" x14ac:dyDescent="0.35">
      <c r="A2" s="16"/>
      <c r="B2" s="8" t="s">
        <v>13</v>
      </c>
      <c r="C2" s="8" t="s">
        <v>14</v>
      </c>
      <c r="D2" s="8" t="s">
        <v>16</v>
      </c>
      <c r="E2" s="8" t="s">
        <v>17</v>
      </c>
      <c r="F2" s="7" t="s">
        <v>36</v>
      </c>
      <c r="G2" s="7">
        <v>1</v>
      </c>
      <c r="H2" s="7">
        <v>2</v>
      </c>
      <c r="I2" s="7">
        <v>3</v>
      </c>
      <c r="J2" s="16"/>
      <c r="K2" s="16"/>
    </row>
    <row r="3" spans="1:12" x14ac:dyDescent="0.35">
      <c r="A3" s="10" t="s">
        <v>0</v>
      </c>
      <c r="B3" s="5">
        <f>'Indicadores de desempeño'!Q3</f>
        <v>39</v>
      </c>
      <c r="C3" s="5">
        <f>'Indicadores de desempeño'!W3</f>
        <v>6</v>
      </c>
      <c r="D3" s="5">
        <f>'Indicadores de desempeño'!X3</f>
        <v>22</v>
      </c>
      <c r="E3" s="5">
        <f>'Indicadores de desempeño'!Y3</f>
        <v>18</v>
      </c>
      <c r="F3" s="4"/>
      <c r="G3" s="4"/>
      <c r="H3" s="4"/>
      <c r="I3" s="4"/>
      <c r="J3" s="6">
        <f>SUM(B3:I3)</f>
        <v>85</v>
      </c>
      <c r="K3" s="6">
        <f>VLOOKUP(J3,Notas!A:B,2,0)</f>
        <v>5.9</v>
      </c>
      <c r="L3" s="1">
        <v>5.7</v>
      </c>
    </row>
    <row r="4" spans="1:12" x14ac:dyDescent="0.35">
      <c r="A4" s="10" t="s">
        <v>1</v>
      </c>
      <c r="B4" s="5">
        <f>'Indicadores de desempeño'!Q4</f>
        <v>36</v>
      </c>
      <c r="C4" s="5">
        <f>'Indicadores de desempeño'!W4</f>
        <v>8</v>
      </c>
      <c r="D4" s="5">
        <f>'Indicadores de desempeño'!X4</f>
        <v>22</v>
      </c>
      <c r="E4" s="5">
        <f>'Indicadores de desempeño'!Y4</f>
        <v>10</v>
      </c>
      <c r="F4" s="4"/>
      <c r="G4" s="4"/>
      <c r="H4" s="4"/>
      <c r="I4" s="4"/>
      <c r="J4" s="6">
        <f t="shared" ref="J4:J13" si="0">SUM(B4:I4)</f>
        <v>76</v>
      </c>
      <c r="K4" s="6">
        <f>VLOOKUP(J4,Notas!A:B,2,0)</f>
        <v>5.2</v>
      </c>
      <c r="L4" s="1">
        <v>5.0999999999999996</v>
      </c>
    </row>
    <row r="5" spans="1:12" x14ac:dyDescent="0.35">
      <c r="A5" s="10" t="s">
        <v>2</v>
      </c>
      <c r="B5" s="5">
        <f>'Indicadores de desempeño'!Q5</f>
        <v>36</v>
      </c>
      <c r="C5" s="5">
        <f>'Indicadores de desempeño'!W5</f>
        <v>6</v>
      </c>
      <c r="D5" s="5">
        <f>'Indicadores de desempeño'!X5</f>
        <v>18</v>
      </c>
      <c r="E5" s="5">
        <f>'Indicadores de desempeño'!Y5</f>
        <v>14</v>
      </c>
      <c r="F5" s="4"/>
      <c r="G5" s="4"/>
      <c r="H5" s="4"/>
      <c r="I5" s="4"/>
      <c r="J5" s="6">
        <f t="shared" si="0"/>
        <v>74</v>
      </c>
      <c r="K5" s="6">
        <f>VLOOKUP(J5,Notas!A:B,2,0)</f>
        <v>5.0999999999999996</v>
      </c>
      <c r="L5" s="1">
        <v>4.9000000000000004</v>
      </c>
    </row>
    <row r="6" spans="1:12" x14ac:dyDescent="0.35">
      <c r="A6" s="10" t="s">
        <v>3</v>
      </c>
      <c r="B6" s="5">
        <f>'Indicadores de desempeño'!Q6</f>
        <v>30</v>
      </c>
      <c r="C6" s="5">
        <f>'Indicadores de desempeño'!W6</f>
        <v>10</v>
      </c>
      <c r="D6" s="5">
        <f>'Indicadores de desempeño'!X6</f>
        <v>19</v>
      </c>
      <c r="E6" s="5">
        <f>'Indicadores de desempeño'!Y6</f>
        <v>13</v>
      </c>
      <c r="F6" s="4"/>
      <c r="G6" s="4"/>
      <c r="H6" s="4"/>
      <c r="I6" s="4">
        <v>2</v>
      </c>
      <c r="J6" s="6">
        <f t="shared" si="0"/>
        <v>74</v>
      </c>
      <c r="K6" s="6">
        <f>VLOOKUP(J6,Notas!A:B,2,0)</f>
        <v>5.0999999999999996</v>
      </c>
      <c r="L6" s="1">
        <v>4.9000000000000004</v>
      </c>
    </row>
    <row r="7" spans="1:12" x14ac:dyDescent="0.35">
      <c r="A7" s="10" t="s">
        <v>4</v>
      </c>
      <c r="B7" s="5">
        <f>'Indicadores de desempeño'!Q7</f>
        <v>33</v>
      </c>
      <c r="C7" s="5">
        <f>'Indicadores de desempeño'!W7</f>
        <v>4</v>
      </c>
      <c r="D7" s="5">
        <f>'Indicadores de desempeño'!X7</f>
        <v>10</v>
      </c>
      <c r="E7" s="5">
        <f>'Indicadores de desempeño'!Y7</f>
        <v>15</v>
      </c>
      <c r="F7" s="4"/>
      <c r="G7" s="4"/>
      <c r="H7" s="4"/>
      <c r="I7" s="4"/>
      <c r="J7" s="6">
        <f t="shared" si="0"/>
        <v>62</v>
      </c>
      <c r="K7" s="6">
        <f>VLOOKUP(J7,Notas!A:B,2,0)</f>
        <v>4.2</v>
      </c>
      <c r="L7" s="1">
        <v>4</v>
      </c>
    </row>
    <row r="8" spans="1:12" x14ac:dyDescent="0.35">
      <c r="A8" s="10" t="s">
        <v>5</v>
      </c>
      <c r="B8" s="5">
        <f>'Indicadores de desempeño'!Q8</f>
        <v>27</v>
      </c>
      <c r="C8" s="5">
        <f>'Indicadores de desempeño'!W8</f>
        <v>4</v>
      </c>
      <c r="D8" s="5">
        <f>'Indicadores de desempeño'!X8</f>
        <v>19</v>
      </c>
      <c r="E8" s="5">
        <f>'Indicadores de desempeño'!Y8</f>
        <v>15</v>
      </c>
      <c r="F8" s="4"/>
      <c r="G8" s="4"/>
      <c r="H8" s="4"/>
      <c r="I8" s="4"/>
      <c r="J8" s="6">
        <f t="shared" si="0"/>
        <v>65</v>
      </c>
      <c r="K8" s="6">
        <f>VLOOKUP(J8,Notas!A:B,2,0)</f>
        <v>4.4000000000000004</v>
      </c>
      <c r="L8" s="1">
        <v>4.2</v>
      </c>
    </row>
    <row r="9" spans="1:12" x14ac:dyDescent="0.35">
      <c r="A9" s="10" t="s">
        <v>6</v>
      </c>
      <c r="B9" s="5">
        <f>'Indicadores de desempeño'!Q9</f>
        <v>30</v>
      </c>
      <c r="C9" s="5">
        <f>'Indicadores de desempeño'!W9</f>
        <v>6</v>
      </c>
      <c r="D9" s="5">
        <f>'Indicadores de desempeño'!X9</f>
        <v>13</v>
      </c>
      <c r="E9" s="5">
        <f>'Indicadores de desempeño'!Y9</f>
        <v>14</v>
      </c>
      <c r="F9" s="4"/>
      <c r="G9" s="4"/>
      <c r="H9" s="4"/>
      <c r="I9" s="4">
        <v>2</v>
      </c>
      <c r="J9" s="6">
        <f t="shared" si="0"/>
        <v>65</v>
      </c>
      <c r="K9" s="6">
        <f>VLOOKUP(J9,Notas!A:B,2,0)</f>
        <v>4.4000000000000004</v>
      </c>
      <c r="L9" s="1">
        <v>4.2</v>
      </c>
    </row>
    <row r="10" spans="1:12" x14ac:dyDescent="0.35">
      <c r="A10" s="10" t="s">
        <v>7</v>
      </c>
      <c r="B10" s="5">
        <f>'Indicadores de desempeño'!Q10</f>
        <v>36</v>
      </c>
      <c r="C10" s="5">
        <f>'Indicadores de desempeño'!W10</f>
        <v>6</v>
      </c>
      <c r="D10" s="5">
        <f>'Indicadores de desempeño'!X10</f>
        <v>17</v>
      </c>
      <c r="E10" s="5">
        <f>'Indicadores de desempeño'!Y10</f>
        <v>19</v>
      </c>
      <c r="F10" s="4"/>
      <c r="G10" s="4">
        <v>2</v>
      </c>
      <c r="H10" s="4"/>
      <c r="I10" s="4">
        <v>2</v>
      </c>
      <c r="J10" s="6">
        <f t="shared" si="0"/>
        <v>82</v>
      </c>
      <c r="K10" s="6">
        <f>VLOOKUP(J10,Notas!A:B,2,0)</f>
        <v>5.7</v>
      </c>
      <c r="L10" s="1">
        <v>5.5</v>
      </c>
    </row>
    <row r="11" spans="1:12" x14ac:dyDescent="0.35">
      <c r="A11" s="10" t="s">
        <v>8</v>
      </c>
      <c r="B11" s="5">
        <f>'Indicadores de desempeño'!Q11</f>
        <v>42</v>
      </c>
      <c r="C11" s="5">
        <f>'Indicadores de desempeño'!W11</f>
        <v>8</v>
      </c>
      <c r="D11" s="5">
        <f>'Indicadores de desempeño'!X11</f>
        <v>14</v>
      </c>
      <c r="E11" s="5">
        <f>'Indicadores de desempeño'!Y11</f>
        <v>20</v>
      </c>
      <c r="F11" s="4">
        <v>1</v>
      </c>
      <c r="G11" s="4"/>
      <c r="H11" s="4"/>
      <c r="I11" s="4"/>
      <c r="J11" s="6">
        <f t="shared" si="0"/>
        <v>85</v>
      </c>
      <c r="K11" s="6">
        <f>VLOOKUP(J11,Notas!A:B,2,0)</f>
        <v>5.9</v>
      </c>
      <c r="L11" s="1">
        <v>5.7</v>
      </c>
    </row>
    <row r="12" spans="1:12" x14ac:dyDescent="0.35">
      <c r="A12" s="10" t="s">
        <v>9</v>
      </c>
      <c r="B12" s="5">
        <f>'Indicadores de desempeño'!Q12</f>
        <v>36</v>
      </c>
      <c r="C12" s="5">
        <f>'Indicadores de desempeño'!W12</f>
        <v>7</v>
      </c>
      <c r="D12" s="5">
        <f>'Indicadores de desempeño'!X12</f>
        <v>12</v>
      </c>
      <c r="E12" s="5">
        <f>'Indicadores de desempeño'!Y12</f>
        <v>9</v>
      </c>
      <c r="F12" s="4"/>
      <c r="G12" s="4"/>
      <c r="H12" s="4"/>
      <c r="I12" s="4">
        <v>2</v>
      </c>
      <c r="J12" s="6">
        <f t="shared" si="0"/>
        <v>66</v>
      </c>
      <c r="K12" s="6">
        <f>VLOOKUP(J12,Notas!A:B,2,0)</f>
        <v>4.5</v>
      </c>
      <c r="L12" s="1">
        <v>4.3</v>
      </c>
    </row>
    <row r="13" spans="1:12" x14ac:dyDescent="0.35">
      <c r="A13" s="10" t="s">
        <v>10</v>
      </c>
      <c r="B13" s="5">
        <f>'Indicadores de desempeño'!Q13</f>
        <v>33</v>
      </c>
      <c r="C13" s="5">
        <f>'Indicadores de desempeño'!W13</f>
        <v>5</v>
      </c>
      <c r="D13" s="5">
        <f>'Indicadores de desempeño'!X13</f>
        <v>12</v>
      </c>
      <c r="E13" s="5">
        <f>'Indicadores de desempeño'!Y13</f>
        <v>14</v>
      </c>
      <c r="F13" s="4"/>
      <c r="G13" s="4"/>
      <c r="H13" s="4">
        <v>1</v>
      </c>
      <c r="I13" s="4"/>
      <c r="J13" s="6">
        <f t="shared" si="0"/>
        <v>65</v>
      </c>
      <c r="K13" s="6">
        <f>VLOOKUP(J13,Notas!A:B,2,0)</f>
        <v>4.4000000000000004</v>
      </c>
      <c r="L13" s="1">
        <v>4.2</v>
      </c>
    </row>
    <row r="14" spans="1:12" x14ac:dyDescent="0.35">
      <c r="G14" s="3"/>
      <c r="J14" s="9">
        <f>AVERAGE(J3:J13)</f>
        <v>72.63636363636364</v>
      </c>
      <c r="K14" s="9">
        <f>AVERAGE(K3:K13)</f>
        <v>4.9818181818181824</v>
      </c>
    </row>
  </sheetData>
  <mergeCells count="5">
    <mergeCell ref="B1:E1"/>
    <mergeCell ref="J1:J2"/>
    <mergeCell ref="K1:K2"/>
    <mergeCell ref="A1:A2"/>
    <mergeCell ref="F1:I1"/>
  </mergeCells>
  <conditionalFormatting sqref="B3:B13">
    <cfRule type="dataBar" priority="5">
      <dataBar>
        <cfvo type="num" val="0"/>
        <cfvo type="num" val="45"/>
        <color theme="9"/>
      </dataBar>
      <extLst>
        <ext xmlns:x14="http://schemas.microsoft.com/office/spreadsheetml/2009/9/main" uri="{B025F937-C7B1-47D3-B67F-A62EFF666E3E}">
          <x14:id>{6EF0220F-7692-4320-9823-4E733C4532FE}</x14:id>
        </ext>
      </extLst>
    </cfRule>
  </conditionalFormatting>
  <conditionalFormatting sqref="C3:C13">
    <cfRule type="dataBar" priority="6">
      <dataBar>
        <cfvo type="num" val="0"/>
        <cfvo type="num" val="10"/>
        <color theme="9"/>
      </dataBar>
      <extLst>
        <ext xmlns:x14="http://schemas.microsoft.com/office/spreadsheetml/2009/9/main" uri="{B025F937-C7B1-47D3-B67F-A62EFF666E3E}">
          <x14:id>{2346ADEB-84B6-4150-A001-D107E875D12C}</x14:id>
        </ext>
      </extLst>
    </cfRule>
  </conditionalFormatting>
  <conditionalFormatting sqref="D3:D13">
    <cfRule type="dataBar" priority="7">
      <dataBar>
        <cfvo type="num" val="0"/>
        <cfvo type="num" val="25"/>
        <color theme="9"/>
      </dataBar>
      <extLst>
        <ext xmlns:x14="http://schemas.microsoft.com/office/spreadsheetml/2009/9/main" uri="{B025F937-C7B1-47D3-B67F-A62EFF666E3E}">
          <x14:id>{610A9DD8-38AF-4D2C-A1AE-B3BE492EF60F}</x14:id>
        </ext>
      </extLst>
    </cfRule>
  </conditionalFormatting>
  <conditionalFormatting sqref="E3:F13">
    <cfRule type="dataBar" priority="8">
      <dataBar>
        <cfvo type="num" val="0"/>
        <cfvo type="num" val="20"/>
        <color theme="9"/>
      </dataBar>
      <extLst>
        <ext xmlns:x14="http://schemas.microsoft.com/office/spreadsheetml/2009/9/main" uri="{B025F937-C7B1-47D3-B67F-A62EFF666E3E}">
          <x14:id>{2B1BAC69-DCD3-4890-8FDB-D1A8ABE671D8}</x14:id>
        </ext>
      </extLst>
    </cfRule>
  </conditionalFormatting>
  <conditionalFormatting sqref="J3:J13">
    <cfRule type="cellIs" dxfId="6" priority="3" operator="greaterThanOrEqual">
      <formula>60</formula>
    </cfRule>
    <cfRule type="cellIs" dxfId="5" priority="4" operator="lessThan">
      <formula>60</formula>
    </cfRule>
  </conditionalFormatting>
  <conditionalFormatting sqref="K3:K13">
    <cfRule type="cellIs" dxfId="4" priority="1" operator="greaterThanOrEqual">
      <formula>4</formula>
    </cfRule>
    <cfRule type="cellIs" dxfId="3" priority="2" operator="lessThan">
      <formula>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F0220F-7692-4320-9823-4E733C4532FE}">
            <x14:dataBar minLength="0" maxLength="100" border="1">
              <x14:cfvo type="num">
                <xm:f>0</xm:f>
              </x14:cfvo>
              <x14:cfvo type="num">
                <xm:f>45</xm:f>
              </x14:cfvo>
              <x14:borderColor rgb="FF000000"/>
              <x14:negativeFillColor rgb="FFFF0000"/>
              <x14:axisColor rgb="FF000000"/>
            </x14:dataBar>
          </x14:cfRule>
          <xm:sqref>B3:B13</xm:sqref>
        </x14:conditionalFormatting>
        <x14:conditionalFormatting xmlns:xm="http://schemas.microsoft.com/office/excel/2006/main">
          <x14:cfRule type="dataBar" id="{2346ADEB-84B6-4150-A001-D107E875D12C}">
            <x14:dataBar minLength="0" maxLength="100" border="1">
              <x14:cfvo type="num">
                <xm:f>0</xm:f>
              </x14:cfvo>
              <x14:cfvo type="num">
                <xm:f>10</xm:f>
              </x14:cfvo>
              <x14:borderColor rgb="FF000000"/>
              <x14:negativeFillColor rgb="FFFF0000"/>
              <x14:axisColor rgb="FF000000"/>
            </x14:dataBar>
          </x14:cfRule>
          <xm:sqref>C3:C13</xm:sqref>
        </x14:conditionalFormatting>
        <x14:conditionalFormatting xmlns:xm="http://schemas.microsoft.com/office/excel/2006/main">
          <x14:cfRule type="dataBar" id="{610A9DD8-38AF-4D2C-A1AE-B3BE492EF60F}">
            <x14:dataBar minLength="0" maxLength="100" border="1">
              <x14:cfvo type="num">
                <xm:f>0</xm:f>
              </x14:cfvo>
              <x14:cfvo type="num">
                <xm:f>25</xm:f>
              </x14:cfvo>
              <x14:borderColor rgb="FF000000"/>
              <x14:negativeFillColor rgb="FFFF0000"/>
              <x14:axisColor rgb="FF000000"/>
            </x14:dataBar>
          </x14:cfRule>
          <xm:sqref>D3:D13</xm:sqref>
        </x14:conditionalFormatting>
        <x14:conditionalFormatting xmlns:xm="http://schemas.microsoft.com/office/excel/2006/main">
          <x14:cfRule type="dataBar" id="{2B1BAC69-DCD3-4890-8FDB-D1A8ABE671D8}">
            <x14:dataBar minLength="0" maxLength="100" border="1">
              <x14:cfvo type="num">
                <xm:f>0</xm:f>
              </x14:cfvo>
              <x14:cfvo type="num">
                <xm:f>20</xm:f>
              </x14:cfvo>
              <x14:borderColor rgb="FF000000"/>
              <x14:negativeFillColor rgb="FFFF0000"/>
              <x14:axisColor rgb="FF000000"/>
            </x14:dataBar>
          </x14:cfRule>
          <xm:sqref>E3:F13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FABD-0DE9-42CF-8238-735C15748CC1}">
  <dimension ref="A1:AY19"/>
  <sheetViews>
    <sheetView topLeftCell="A7" zoomScale="130" zoomScaleNormal="130" workbookViewId="0">
      <pane xSplit="1" topLeftCell="B1" activePane="topRight" state="frozen"/>
      <selection pane="topRight" activeCell="AP13" sqref="AP13"/>
    </sheetView>
  </sheetViews>
  <sheetFormatPr baseColWidth="10" defaultRowHeight="14.5" x14ac:dyDescent="0.35"/>
  <cols>
    <col min="1" max="1" width="39.1796875" style="2" bestFit="1" customWidth="1"/>
    <col min="2" max="23" width="3.1796875" style="3" customWidth="1"/>
    <col min="24" max="26" width="3.1796875" style="2" customWidth="1"/>
    <col min="27" max="27" width="6.26953125" style="2" customWidth="1"/>
    <col min="28" max="28" width="10.81640625" style="2" customWidth="1"/>
    <col min="29" max="38" width="5" style="2" customWidth="1"/>
    <col min="39" max="39" width="8.453125" style="2" customWidth="1"/>
    <col min="40" max="40" width="10.90625" style="2"/>
    <col min="41" max="51" width="6.08984375" style="2" customWidth="1"/>
    <col min="52" max="16384" width="10.90625" style="2"/>
  </cols>
  <sheetData>
    <row r="1" spans="1:51" x14ac:dyDescent="0.35">
      <c r="A1" s="16" t="s">
        <v>11</v>
      </c>
      <c r="B1" s="17" t="s">
        <v>13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  <c r="R1" s="17" t="s">
        <v>14</v>
      </c>
      <c r="S1" s="18"/>
      <c r="T1" s="18"/>
      <c r="U1" s="18"/>
      <c r="V1" s="18"/>
      <c r="W1" s="19"/>
      <c r="X1" s="16" t="s">
        <v>15</v>
      </c>
      <c r="Y1" s="16"/>
      <c r="Z1" s="16"/>
      <c r="AA1" s="20" t="s">
        <v>19</v>
      </c>
      <c r="AC1" s="16" t="s">
        <v>25</v>
      </c>
      <c r="AD1" s="16"/>
      <c r="AE1" s="16" t="s">
        <v>28</v>
      </c>
      <c r="AF1" s="16"/>
      <c r="AG1" s="7" t="s">
        <v>29</v>
      </c>
      <c r="AH1" s="7" t="s">
        <v>31</v>
      </c>
      <c r="AI1" s="16" t="s">
        <v>32</v>
      </c>
      <c r="AJ1" s="16"/>
      <c r="AK1" s="16"/>
      <c r="AL1" s="16"/>
      <c r="AM1" s="20" t="s">
        <v>19</v>
      </c>
      <c r="AO1" s="16" t="s">
        <v>25</v>
      </c>
      <c r="AP1" s="16"/>
      <c r="AQ1" s="16" t="s">
        <v>28</v>
      </c>
      <c r="AR1" s="16"/>
      <c r="AS1" s="7" t="s">
        <v>29</v>
      </c>
      <c r="AT1" s="7" t="s">
        <v>31</v>
      </c>
      <c r="AU1" s="16" t="s">
        <v>32</v>
      </c>
      <c r="AV1" s="16"/>
      <c r="AW1" s="16"/>
      <c r="AX1" s="16"/>
      <c r="AY1" s="20" t="s">
        <v>19</v>
      </c>
    </row>
    <row r="2" spans="1:51" x14ac:dyDescent="0.35">
      <c r="A2" s="16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 t="s">
        <v>23</v>
      </c>
      <c r="R2" s="7">
        <v>1</v>
      </c>
      <c r="S2" s="7">
        <v>2</v>
      </c>
      <c r="T2" s="7">
        <v>3</v>
      </c>
      <c r="U2" s="7">
        <v>4</v>
      </c>
      <c r="V2" s="7">
        <v>5</v>
      </c>
      <c r="W2" s="7" t="s">
        <v>23</v>
      </c>
      <c r="X2" s="7">
        <v>1</v>
      </c>
      <c r="Y2" s="7">
        <v>2</v>
      </c>
      <c r="Z2" s="7" t="s">
        <v>23</v>
      </c>
      <c r="AA2" s="21"/>
      <c r="AC2" s="7" t="s">
        <v>26</v>
      </c>
      <c r="AD2" s="7" t="s">
        <v>27</v>
      </c>
      <c r="AE2" s="7" t="s">
        <v>26</v>
      </c>
      <c r="AF2" s="7" t="s">
        <v>27</v>
      </c>
      <c r="AG2" s="7" t="s">
        <v>30</v>
      </c>
      <c r="AH2" s="7" t="s">
        <v>26</v>
      </c>
      <c r="AI2" s="7" t="s">
        <v>26</v>
      </c>
      <c r="AJ2" s="7" t="s">
        <v>27</v>
      </c>
      <c r="AK2" s="7" t="s">
        <v>30</v>
      </c>
      <c r="AL2" s="7" t="s">
        <v>33</v>
      </c>
      <c r="AM2" s="21"/>
      <c r="AO2" s="7" t="s">
        <v>26</v>
      </c>
      <c r="AP2" s="7" t="s">
        <v>27</v>
      </c>
      <c r="AQ2" s="7" t="s">
        <v>26</v>
      </c>
      <c r="AR2" s="7" t="s">
        <v>27</v>
      </c>
      <c r="AS2" s="7" t="s">
        <v>30</v>
      </c>
      <c r="AT2" s="7" t="s">
        <v>26</v>
      </c>
      <c r="AU2" s="7" t="s">
        <v>26</v>
      </c>
      <c r="AV2" s="7" t="s">
        <v>27</v>
      </c>
      <c r="AW2" s="7" t="s">
        <v>30</v>
      </c>
      <c r="AX2" s="7" t="s">
        <v>33</v>
      </c>
      <c r="AY2" s="21"/>
    </row>
    <row r="3" spans="1:51" x14ac:dyDescent="0.35">
      <c r="A3" s="10" t="s">
        <v>0</v>
      </c>
      <c r="B3" s="4"/>
      <c r="C3" s="4"/>
      <c r="D3" s="4"/>
      <c r="E3" s="4"/>
      <c r="F3" s="4" t="s">
        <v>24</v>
      </c>
      <c r="G3" s="4" t="s">
        <v>24</v>
      </c>
      <c r="H3" s="4"/>
      <c r="I3" s="4"/>
      <c r="J3" s="4"/>
      <c r="K3" s="4"/>
      <c r="L3" s="4"/>
      <c r="M3" s="4"/>
      <c r="N3" s="4"/>
      <c r="O3" s="4"/>
      <c r="P3" s="4"/>
      <c r="Q3" s="11">
        <f>(15-COUNTA(B3:P3))*3</f>
        <v>39</v>
      </c>
      <c r="R3" s="15">
        <v>2</v>
      </c>
      <c r="S3" s="4">
        <v>2</v>
      </c>
      <c r="T3" s="4"/>
      <c r="U3" s="4">
        <v>2</v>
      </c>
      <c r="V3" s="4"/>
      <c r="W3" s="11">
        <f>SUM(R3:V3)</f>
        <v>6</v>
      </c>
      <c r="X3" s="4">
        <v>22</v>
      </c>
      <c r="Y3" s="4">
        <v>18</v>
      </c>
      <c r="Z3" s="11">
        <f>SUM(X3:Y3)</f>
        <v>40</v>
      </c>
      <c r="AA3" s="7">
        <f>Q3+W3+Z3</f>
        <v>85</v>
      </c>
      <c r="AC3" s="4">
        <f>IF(B3="",1.5,0)+IF(D3="",3,0)+IF(G3="",1.5,0)+IF(H3="",1.5,0)+IF(I3="",3,0)+IF(K3="",3,0)+IF(L3="",1.5,0)+IF(O3="",3,0)+S3/2+U3/2</f>
        <v>18.5</v>
      </c>
      <c r="AD3" s="4">
        <f>IF(F3="",3,0)+T3</f>
        <v>0</v>
      </c>
      <c r="AE3" s="4">
        <f>IF(J3="",3,0)+Y3/2</f>
        <v>12</v>
      </c>
      <c r="AF3" s="4">
        <f>IF(C3="",3,0)</f>
        <v>3</v>
      </c>
      <c r="AG3" s="4">
        <f>IF(B3="",1.5,0)+IF(G3="",1.5,0)+IF(H3="",1.5,0)+IF(L3="",1.5,0)+U3/2+X3/2</f>
        <v>16.5</v>
      </c>
      <c r="AH3" s="4">
        <f>IF(E3="",3,0)+V3</f>
        <v>3</v>
      </c>
      <c r="AI3" s="4">
        <f>IF(N3="",3,0)+R3</f>
        <v>5</v>
      </c>
      <c r="AJ3" s="4">
        <f>IF(P3="",1.5,0)</f>
        <v>1.5</v>
      </c>
      <c r="AK3" s="4">
        <f>IF(M3="",1.5,0)+IF(P3="",1.5,0)+X3/2</f>
        <v>14</v>
      </c>
      <c r="AL3" s="4">
        <f>IF(M3="",1.5,0)+S3/2+Y3/2</f>
        <v>11.5</v>
      </c>
      <c r="AM3" s="7">
        <f>SUM(AC3:AL3)</f>
        <v>85</v>
      </c>
      <c r="AO3" s="12">
        <f>AC3/AC$18</f>
        <v>0.92500000000000004</v>
      </c>
      <c r="AP3" s="12">
        <f t="shared" ref="AP3:AY13" si="0">AD3/AD$18</f>
        <v>0</v>
      </c>
      <c r="AQ3" s="12">
        <f t="shared" si="0"/>
        <v>0.92307692307692313</v>
      </c>
      <c r="AR3" s="12">
        <f t="shared" si="0"/>
        <v>1</v>
      </c>
      <c r="AS3" s="12">
        <f t="shared" si="0"/>
        <v>0.84615384615384615</v>
      </c>
      <c r="AT3" s="12">
        <f t="shared" si="0"/>
        <v>0.6</v>
      </c>
      <c r="AU3" s="12">
        <f t="shared" si="0"/>
        <v>1</v>
      </c>
      <c r="AV3" s="12">
        <f t="shared" si="0"/>
        <v>1</v>
      </c>
      <c r="AW3" s="12">
        <f t="shared" si="0"/>
        <v>0.90322580645161288</v>
      </c>
      <c r="AX3" s="12">
        <f t="shared" si="0"/>
        <v>0.92</v>
      </c>
      <c r="AY3" s="13">
        <f t="shared" si="0"/>
        <v>0.85</v>
      </c>
    </row>
    <row r="4" spans="1:51" x14ac:dyDescent="0.35">
      <c r="A4" s="10" t="s">
        <v>1</v>
      </c>
      <c r="B4" s="4"/>
      <c r="C4" s="4"/>
      <c r="D4" s="4" t="s">
        <v>24</v>
      </c>
      <c r="E4" s="4"/>
      <c r="F4" s="4" t="s">
        <v>24</v>
      </c>
      <c r="G4" s="4" t="s">
        <v>24</v>
      </c>
      <c r="H4" s="4"/>
      <c r="I4" s="4"/>
      <c r="J4" s="4"/>
      <c r="K4" s="4"/>
      <c r="L4" s="4"/>
      <c r="M4" s="4"/>
      <c r="N4" s="4"/>
      <c r="O4" s="4"/>
      <c r="P4" s="4"/>
      <c r="Q4" s="11">
        <f t="shared" ref="Q4:Q13" si="1">(15-COUNTA(B4:P4))*3</f>
        <v>36</v>
      </c>
      <c r="R4" s="15">
        <v>2</v>
      </c>
      <c r="S4" s="4">
        <v>2</v>
      </c>
      <c r="T4" s="4"/>
      <c r="U4" s="4">
        <v>2</v>
      </c>
      <c r="V4" s="4">
        <v>2</v>
      </c>
      <c r="W4" s="11">
        <f t="shared" ref="W4:W13" si="2">SUM(R4:V4)</f>
        <v>8</v>
      </c>
      <c r="X4" s="4">
        <v>22</v>
      </c>
      <c r="Y4" s="4">
        <v>10</v>
      </c>
      <c r="Z4" s="11">
        <f t="shared" ref="Z4:Z13" si="3">SUM(X4:Y4)</f>
        <v>32</v>
      </c>
      <c r="AA4" s="7">
        <f t="shared" ref="AA4:AA13" si="4">Q4+W4+Z4</f>
        <v>76</v>
      </c>
      <c r="AC4" s="4">
        <f t="shared" ref="AC4:AC13" si="5">IF(B4="",1.5,0)+IF(D4="",3,0)+IF(G4="",1.5,0)+IF(H4="",1.5,0)+IF(I4="",3,0)+IF(K4="",3,0)+IF(L4="",1.5,0)+IF(O4="",3,0)+S4/2+U4/2</f>
        <v>15.5</v>
      </c>
      <c r="AD4" s="4">
        <f t="shared" ref="AD4:AD13" si="6">IF(F4="",3,0)+T4</f>
        <v>0</v>
      </c>
      <c r="AE4" s="4">
        <f t="shared" ref="AE4:AE13" si="7">IF(J4="",3,0)+Y4/2</f>
        <v>8</v>
      </c>
      <c r="AF4" s="4">
        <f t="shared" ref="AF4:AF13" si="8">IF(C4="",3,0)</f>
        <v>3</v>
      </c>
      <c r="AG4" s="4">
        <f t="shared" ref="AG4:AG13" si="9">IF(B4="",1.5,0)+IF(G4="",1.5,0)+IF(H4="",1.5,0)+IF(L4="",1.5,0)+U4/2+X4/2</f>
        <v>16.5</v>
      </c>
      <c r="AH4" s="4">
        <f t="shared" ref="AH4:AH13" si="10">IF(E4="",3,0)+V4</f>
        <v>5</v>
      </c>
      <c r="AI4" s="4">
        <f t="shared" ref="AI4:AI13" si="11">IF(N4="",3,0)+R4</f>
        <v>5</v>
      </c>
      <c r="AJ4" s="4">
        <f t="shared" ref="AJ4:AJ13" si="12">IF(P4="",1.5,0)</f>
        <v>1.5</v>
      </c>
      <c r="AK4" s="4">
        <f t="shared" ref="AK4:AK13" si="13">IF(M4="",1.5,0)+IF(P4="",1.5,0)+X4/2</f>
        <v>14</v>
      </c>
      <c r="AL4" s="4">
        <f t="shared" ref="AL4:AL13" si="14">IF(M4="",1.5,0)+S4/2+Y4/2</f>
        <v>7.5</v>
      </c>
      <c r="AM4" s="7">
        <f t="shared" ref="AM4:AM13" si="15">SUM(AC4:AL4)</f>
        <v>76</v>
      </c>
      <c r="AO4" s="12">
        <f t="shared" ref="AO4:AO13" si="16">AC4/AC$18</f>
        <v>0.77500000000000002</v>
      </c>
      <c r="AP4" s="12">
        <f t="shared" ref="AP4:AP13" si="17">AD4/AD$18</f>
        <v>0</v>
      </c>
      <c r="AQ4" s="12">
        <f t="shared" ref="AQ4:AQ13" si="18">AE4/AE$18</f>
        <v>0.61538461538461542</v>
      </c>
      <c r="AR4" s="12">
        <f t="shared" ref="AR4:AR13" si="19">AF4/AF$18</f>
        <v>1</v>
      </c>
      <c r="AS4" s="12">
        <f t="shared" ref="AS4:AS13" si="20">AG4/AG$18</f>
        <v>0.84615384615384615</v>
      </c>
      <c r="AT4" s="12">
        <f t="shared" ref="AT4:AT13" si="21">AH4/AH$18</f>
        <v>1</v>
      </c>
      <c r="AU4" s="12">
        <f t="shared" ref="AU4:AU13" si="22">AI4/AI$18</f>
        <v>1</v>
      </c>
      <c r="AV4" s="12">
        <f t="shared" ref="AV4:AV13" si="23">AJ4/AJ$18</f>
        <v>1</v>
      </c>
      <c r="AW4" s="12">
        <f t="shared" ref="AW4:AW13" si="24">AK4/AK$18</f>
        <v>0.90322580645161288</v>
      </c>
      <c r="AX4" s="12">
        <f t="shared" ref="AX4:AX13" si="25">AL4/AL$18</f>
        <v>0.6</v>
      </c>
      <c r="AY4" s="13">
        <f t="shared" si="0"/>
        <v>0.76</v>
      </c>
    </row>
    <row r="5" spans="1:51" x14ac:dyDescent="0.35">
      <c r="A5" s="10" t="s">
        <v>2</v>
      </c>
      <c r="B5" s="4"/>
      <c r="C5" s="4"/>
      <c r="D5" s="4" t="s">
        <v>24</v>
      </c>
      <c r="E5" s="4"/>
      <c r="F5" s="4" t="s">
        <v>24</v>
      </c>
      <c r="G5" s="4"/>
      <c r="H5" s="4"/>
      <c r="I5" s="4"/>
      <c r="J5" s="4"/>
      <c r="K5" s="4"/>
      <c r="L5" s="4"/>
      <c r="M5" s="4"/>
      <c r="N5" s="4"/>
      <c r="O5" s="4"/>
      <c r="P5" s="4" t="s">
        <v>24</v>
      </c>
      <c r="Q5" s="11">
        <f t="shared" si="1"/>
        <v>36</v>
      </c>
      <c r="R5" s="15">
        <v>2</v>
      </c>
      <c r="S5" s="4">
        <v>2</v>
      </c>
      <c r="T5" s="4"/>
      <c r="U5" s="4">
        <v>2</v>
      </c>
      <c r="V5" s="4"/>
      <c r="W5" s="11">
        <f t="shared" si="2"/>
        <v>6</v>
      </c>
      <c r="X5" s="4">
        <v>18</v>
      </c>
      <c r="Y5" s="4">
        <v>14</v>
      </c>
      <c r="Z5" s="11">
        <f t="shared" si="3"/>
        <v>32</v>
      </c>
      <c r="AA5" s="7">
        <f t="shared" si="4"/>
        <v>74</v>
      </c>
      <c r="AC5" s="4">
        <f t="shared" si="5"/>
        <v>17</v>
      </c>
      <c r="AD5" s="4">
        <f t="shared" si="6"/>
        <v>0</v>
      </c>
      <c r="AE5" s="4">
        <f t="shared" si="7"/>
        <v>10</v>
      </c>
      <c r="AF5" s="4">
        <f t="shared" si="8"/>
        <v>3</v>
      </c>
      <c r="AG5" s="4">
        <f t="shared" si="9"/>
        <v>16</v>
      </c>
      <c r="AH5" s="4">
        <f t="shared" si="10"/>
        <v>3</v>
      </c>
      <c r="AI5" s="4">
        <f t="shared" si="11"/>
        <v>5</v>
      </c>
      <c r="AJ5" s="4">
        <f t="shared" si="12"/>
        <v>0</v>
      </c>
      <c r="AK5" s="4">
        <f t="shared" si="13"/>
        <v>10.5</v>
      </c>
      <c r="AL5" s="4">
        <f t="shared" si="14"/>
        <v>9.5</v>
      </c>
      <c r="AM5" s="7">
        <f t="shared" si="15"/>
        <v>74</v>
      </c>
      <c r="AO5" s="12">
        <f t="shared" si="16"/>
        <v>0.85</v>
      </c>
      <c r="AP5" s="12">
        <f t="shared" si="17"/>
        <v>0</v>
      </c>
      <c r="AQ5" s="12">
        <f t="shared" si="18"/>
        <v>0.76923076923076927</v>
      </c>
      <c r="AR5" s="12">
        <f t="shared" si="19"/>
        <v>1</v>
      </c>
      <c r="AS5" s="12">
        <f t="shared" si="20"/>
        <v>0.82051282051282048</v>
      </c>
      <c r="AT5" s="12">
        <f t="shared" si="21"/>
        <v>0.6</v>
      </c>
      <c r="AU5" s="12">
        <f t="shared" si="22"/>
        <v>1</v>
      </c>
      <c r="AV5" s="12">
        <f t="shared" si="23"/>
        <v>0</v>
      </c>
      <c r="AW5" s="12">
        <f t="shared" si="24"/>
        <v>0.67741935483870963</v>
      </c>
      <c r="AX5" s="12">
        <f t="shared" si="25"/>
        <v>0.76</v>
      </c>
      <c r="AY5" s="13">
        <f t="shared" si="0"/>
        <v>0.74</v>
      </c>
    </row>
    <row r="6" spans="1:51" x14ac:dyDescent="0.35">
      <c r="A6" s="10" t="s">
        <v>3</v>
      </c>
      <c r="B6" s="4"/>
      <c r="C6" s="4"/>
      <c r="D6" s="4" t="s">
        <v>24</v>
      </c>
      <c r="E6" s="4" t="s">
        <v>24</v>
      </c>
      <c r="F6" s="4"/>
      <c r="G6" s="4" t="s">
        <v>24</v>
      </c>
      <c r="H6" s="4" t="s">
        <v>24</v>
      </c>
      <c r="I6" s="4" t="s">
        <v>24</v>
      </c>
      <c r="J6" s="4"/>
      <c r="K6" s="4"/>
      <c r="L6" s="4"/>
      <c r="M6" s="4"/>
      <c r="N6" s="4"/>
      <c r="O6" s="4"/>
      <c r="P6" s="4"/>
      <c r="Q6" s="11">
        <f t="shared" si="1"/>
        <v>30</v>
      </c>
      <c r="R6" s="4">
        <v>2</v>
      </c>
      <c r="S6" s="4">
        <v>2</v>
      </c>
      <c r="T6" s="4">
        <v>2</v>
      </c>
      <c r="U6" s="4">
        <v>2</v>
      </c>
      <c r="V6" s="4">
        <v>2</v>
      </c>
      <c r="W6" s="11">
        <f t="shared" si="2"/>
        <v>10</v>
      </c>
      <c r="X6" s="4">
        <v>19</v>
      </c>
      <c r="Y6" s="4">
        <v>13</v>
      </c>
      <c r="Z6" s="11">
        <f t="shared" si="3"/>
        <v>32</v>
      </c>
      <c r="AA6" s="7">
        <f t="shared" si="4"/>
        <v>72</v>
      </c>
      <c r="AC6" s="4">
        <f t="shared" si="5"/>
        <v>11</v>
      </c>
      <c r="AD6" s="4">
        <f t="shared" si="6"/>
        <v>5</v>
      </c>
      <c r="AE6" s="4">
        <f t="shared" si="7"/>
        <v>9.5</v>
      </c>
      <c r="AF6" s="4">
        <f t="shared" si="8"/>
        <v>3</v>
      </c>
      <c r="AG6" s="4">
        <f t="shared" si="9"/>
        <v>13.5</v>
      </c>
      <c r="AH6" s="4">
        <f t="shared" si="10"/>
        <v>2</v>
      </c>
      <c r="AI6" s="4">
        <f t="shared" si="11"/>
        <v>5</v>
      </c>
      <c r="AJ6" s="4">
        <f t="shared" si="12"/>
        <v>1.5</v>
      </c>
      <c r="AK6" s="4">
        <f t="shared" si="13"/>
        <v>12.5</v>
      </c>
      <c r="AL6" s="4">
        <f t="shared" si="14"/>
        <v>9</v>
      </c>
      <c r="AM6" s="7">
        <f t="shared" si="15"/>
        <v>72</v>
      </c>
      <c r="AO6" s="12">
        <f t="shared" si="16"/>
        <v>0.55000000000000004</v>
      </c>
      <c r="AP6" s="12">
        <f t="shared" si="17"/>
        <v>1</v>
      </c>
      <c r="AQ6" s="12">
        <f t="shared" si="18"/>
        <v>0.73076923076923073</v>
      </c>
      <c r="AR6" s="12">
        <f t="shared" si="19"/>
        <v>1</v>
      </c>
      <c r="AS6" s="12">
        <f t="shared" si="20"/>
        <v>0.69230769230769229</v>
      </c>
      <c r="AT6" s="12">
        <f t="shared" si="21"/>
        <v>0.4</v>
      </c>
      <c r="AU6" s="12">
        <f t="shared" si="22"/>
        <v>1</v>
      </c>
      <c r="AV6" s="12">
        <f t="shared" si="23"/>
        <v>1</v>
      </c>
      <c r="AW6" s="12">
        <f t="shared" si="24"/>
        <v>0.80645161290322576</v>
      </c>
      <c r="AX6" s="12">
        <f t="shared" si="25"/>
        <v>0.72</v>
      </c>
      <c r="AY6" s="13">
        <f t="shared" si="0"/>
        <v>0.72</v>
      </c>
    </row>
    <row r="7" spans="1:51" x14ac:dyDescent="0.35">
      <c r="A7" s="10" t="s">
        <v>4</v>
      </c>
      <c r="B7" s="4"/>
      <c r="C7" s="4"/>
      <c r="D7" s="4" t="s">
        <v>24</v>
      </c>
      <c r="E7" s="4"/>
      <c r="F7" s="4"/>
      <c r="G7" s="4" t="s">
        <v>24</v>
      </c>
      <c r="H7" s="4" t="s">
        <v>24</v>
      </c>
      <c r="I7" s="4"/>
      <c r="J7" s="4"/>
      <c r="K7" s="4"/>
      <c r="L7" s="4"/>
      <c r="M7" s="4"/>
      <c r="N7" s="4"/>
      <c r="O7" s="4" t="s">
        <v>24</v>
      </c>
      <c r="P7" s="4"/>
      <c r="Q7" s="11">
        <f t="shared" si="1"/>
        <v>33</v>
      </c>
      <c r="R7" s="15">
        <v>2</v>
      </c>
      <c r="S7" s="4"/>
      <c r="T7" s="4"/>
      <c r="U7" s="4">
        <v>2</v>
      </c>
      <c r="V7" s="4"/>
      <c r="W7" s="11">
        <f t="shared" si="2"/>
        <v>4</v>
      </c>
      <c r="X7" s="4">
        <v>10</v>
      </c>
      <c r="Y7" s="4">
        <v>15</v>
      </c>
      <c r="Z7" s="11">
        <f t="shared" si="3"/>
        <v>25</v>
      </c>
      <c r="AA7" s="7">
        <f t="shared" si="4"/>
        <v>62</v>
      </c>
      <c r="AC7" s="4">
        <f t="shared" si="5"/>
        <v>10</v>
      </c>
      <c r="AD7" s="4">
        <f t="shared" si="6"/>
        <v>3</v>
      </c>
      <c r="AE7" s="4">
        <f t="shared" si="7"/>
        <v>10.5</v>
      </c>
      <c r="AF7" s="4">
        <f t="shared" si="8"/>
        <v>3</v>
      </c>
      <c r="AG7" s="4">
        <f t="shared" si="9"/>
        <v>9</v>
      </c>
      <c r="AH7" s="4">
        <f t="shared" si="10"/>
        <v>3</v>
      </c>
      <c r="AI7" s="4">
        <f t="shared" si="11"/>
        <v>5</v>
      </c>
      <c r="AJ7" s="4">
        <f t="shared" si="12"/>
        <v>1.5</v>
      </c>
      <c r="AK7" s="4">
        <f t="shared" si="13"/>
        <v>8</v>
      </c>
      <c r="AL7" s="4">
        <f t="shared" si="14"/>
        <v>9</v>
      </c>
      <c r="AM7" s="7">
        <f t="shared" si="15"/>
        <v>62</v>
      </c>
      <c r="AO7" s="12">
        <f t="shared" si="16"/>
        <v>0.5</v>
      </c>
      <c r="AP7" s="12">
        <f t="shared" si="17"/>
        <v>0.6</v>
      </c>
      <c r="AQ7" s="12">
        <f t="shared" si="18"/>
        <v>0.80769230769230771</v>
      </c>
      <c r="AR7" s="12">
        <f t="shared" si="19"/>
        <v>1</v>
      </c>
      <c r="AS7" s="12">
        <f t="shared" si="20"/>
        <v>0.46153846153846156</v>
      </c>
      <c r="AT7" s="12">
        <f t="shared" si="21"/>
        <v>0.6</v>
      </c>
      <c r="AU7" s="12">
        <f t="shared" si="22"/>
        <v>1</v>
      </c>
      <c r="AV7" s="12">
        <f t="shared" si="23"/>
        <v>1</v>
      </c>
      <c r="AW7" s="12">
        <f t="shared" si="24"/>
        <v>0.5161290322580645</v>
      </c>
      <c r="AX7" s="12">
        <f t="shared" si="25"/>
        <v>0.72</v>
      </c>
      <c r="AY7" s="13">
        <f t="shared" si="0"/>
        <v>0.62</v>
      </c>
    </row>
    <row r="8" spans="1:51" x14ac:dyDescent="0.35">
      <c r="A8" s="10" t="s">
        <v>5</v>
      </c>
      <c r="B8" s="4" t="s">
        <v>24</v>
      </c>
      <c r="C8" s="4"/>
      <c r="D8" s="4"/>
      <c r="E8" s="4" t="s">
        <v>24</v>
      </c>
      <c r="F8" s="4"/>
      <c r="G8" s="4" t="s">
        <v>24</v>
      </c>
      <c r="H8" s="4" t="s">
        <v>24</v>
      </c>
      <c r="I8" s="4" t="s">
        <v>24</v>
      </c>
      <c r="J8" s="4"/>
      <c r="K8" s="4"/>
      <c r="L8" s="4"/>
      <c r="M8" s="4"/>
      <c r="N8" s="4"/>
      <c r="O8" s="4" t="s">
        <v>24</v>
      </c>
      <c r="P8" s="4"/>
      <c r="Q8" s="11">
        <f t="shared" si="1"/>
        <v>27</v>
      </c>
      <c r="R8" s="4">
        <v>2</v>
      </c>
      <c r="S8" s="4"/>
      <c r="T8" s="4"/>
      <c r="U8" s="4">
        <v>2</v>
      </c>
      <c r="V8" s="4"/>
      <c r="W8" s="11">
        <f t="shared" si="2"/>
        <v>4</v>
      </c>
      <c r="X8" s="4">
        <v>19</v>
      </c>
      <c r="Y8" s="4">
        <v>15</v>
      </c>
      <c r="Z8" s="11">
        <f t="shared" si="3"/>
        <v>34</v>
      </c>
      <c r="AA8" s="7">
        <f t="shared" si="4"/>
        <v>65</v>
      </c>
      <c r="AC8" s="4">
        <f t="shared" si="5"/>
        <v>8.5</v>
      </c>
      <c r="AD8" s="4">
        <f t="shared" si="6"/>
        <v>3</v>
      </c>
      <c r="AE8" s="4">
        <f t="shared" si="7"/>
        <v>10.5</v>
      </c>
      <c r="AF8" s="4">
        <f t="shared" si="8"/>
        <v>3</v>
      </c>
      <c r="AG8" s="4">
        <f t="shared" si="9"/>
        <v>12</v>
      </c>
      <c r="AH8" s="4">
        <f t="shared" si="10"/>
        <v>0</v>
      </c>
      <c r="AI8" s="4">
        <f t="shared" si="11"/>
        <v>5</v>
      </c>
      <c r="AJ8" s="4">
        <f t="shared" si="12"/>
        <v>1.5</v>
      </c>
      <c r="AK8" s="4">
        <f t="shared" si="13"/>
        <v>12.5</v>
      </c>
      <c r="AL8" s="4">
        <f t="shared" si="14"/>
        <v>9</v>
      </c>
      <c r="AM8" s="7">
        <f t="shared" si="15"/>
        <v>65</v>
      </c>
      <c r="AO8" s="12">
        <f t="shared" si="16"/>
        <v>0.42499999999999999</v>
      </c>
      <c r="AP8" s="12">
        <f t="shared" si="17"/>
        <v>0.6</v>
      </c>
      <c r="AQ8" s="12">
        <f t="shared" si="18"/>
        <v>0.80769230769230771</v>
      </c>
      <c r="AR8" s="12">
        <f t="shared" si="19"/>
        <v>1</v>
      </c>
      <c r="AS8" s="12">
        <f t="shared" si="20"/>
        <v>0.61538461538461542</v>
      </c>
      <c r="AT8" s="12">
        <f t="shared" si="21"/>
        <v>0</v>
      </c>
      <c r="AU8" s="12">
        <f t="shared" si="22"/>
        <v>1</v>
      </c>
      <c r="AV8" s="12">
        <f t="shared" si="23"/>
        <v>1</v>
      </c>
      <c r="AW8" s="12">
        <f t="shared" si="24"/>
        <v>0.80645161290322576</v>
      </c>
      <c r="AX8" s="12">
        <f t="shared" si="25"/>
        <v>0.72</v>
      </c>
      <c r="AY8" s="13">
        <f t="shared" si="0"/>
        <v>0.65</v>
      </c>
    </row>
    <row r="9" spans="1:51" x14ac:dyDescent="0.35">
      <c r="A9" s="10" t="s">
        <v>6</v>
      </c>
      <c r="B9" s="4"/>
      <c r="C9" s="4"/>
      <c r="D9" s="4" t="s">
        <v>24</v>
      </c>
      <c r="E9" s="4"/>
      <c r="F9" s="4" t="s">
        <v>24</v>
      </c>
      <c r="G9" s="4" t="s">
        <v>24</v>
      </c>
      <c r="H9" s="4" t="s">
        <v>24</v>
      </c>
      <c r="I9" s="4" t="s">
        <v>24</v>
      </c>
      <c r="J9" s="4"/>
      <c r="K9" s="4"/>
      <c r="L9" s="4"/>
      <c r="M9" s="4"/>
      <c r="N9" s="4"/>
      <c r="O9" s="4"/>
      <c r="P9" s="4"/>
      <c r="Q9" s="11">
        <f t="shared" si="1"/>
        <v>30</v>
      </c>
      <c r="R9" s="4">
        <v>2</v>
      </c>
      <c r="S9" s="4"/>
      <c r="T9" s="4">
        <v>2</v>
      </c>
      <c r="U9" s="4">
        <v>2</v>
      </c>
      <c r="V9" s="4"/>
      <c r="W9" s="11">
        <f t="shared" si="2"/>
        <v>6</v>
      </c>
      <c r="X9" s="4">
        <v>13</v>
      </c>
      <c r="Y9" s="4">
        <v>14</v>
      </c>
      <c r="Z9" s="11">
        <f t="shared" si="3"/>
        <v>27</v>
      </c>
      <c r="AA9" s="7">
        <f t="shared" si="4"/>
        <v>63</v>
      </c>
      <c r="AC9" s="4">
        <f t="shared" si="5"/>
        <v>10</v>
      </c>
      <c r="AD9" s="4">
        <f t="shared" si="6"/>
        <v>2</v>
      </c>
      <c r="AE9" s="4">
        <f t="shared" si="7"/>
        <v>10</v>
      </c>
      <c r="AF9" s="4">
        <f t="shared" si="8"/>
        <v>3</v>
      </c>
      <c r="AG9" s="4">
        <f t="shared" si="9"/>
        <v>10.5</v>
      </c>
      <c r="AH9" s="4">
        <f t="shared" si="10"/>
        <v>3</v>
      </c>
      <c r="AI9" s="4">
        <f t="shared" si="11"/>
        <v>5</v>
      </c>
      <c r="AJ9" s="4">
        <f t="shared" si="12"/>
        <v>1.5</v>
      </c>
      <c r="AK9" s="4">
        <f t="shared" si="13"/>
        <v>9.5</v>
      </c>
      <c r="AL9" s="4">
        <f t="shared" si="14"/>
        <v>8.5</v>
      </c>
      <c r="AM9" s="7">
        <f t="shared" si="15"/>
        <v>63</v>
      </c>
      <c r="AO9" s="12">
        <f t="shared" si="16"/>
        <v>0.5</v>
      </c>
      <c r="AP9" s="12">
        <f t="shared" si="17"/>
        <v>0.4</v>
      </c>
      <c r="AQ9" s="12">
        <f t="shared" si="18"/>
        <v>0.76923076923076927</v>
      </c>
      <c r="AR9" s="12">
        <f t="shared" si="19"/>
        <v>1</v>
      </c>
      <c r="AS9" s="12">
        <f t="shared" si="20"/>
        <v>0.53846153846153844</v>
      </c>
      <c r="AT9" s="12">
        <f t="shared" si="21"/>
        <v>0.6</v>
      </c>
      <c r="AU9" s="12">
        <f t="shared" si="22"/>
        <v>1</v>
      </c>
      <c r="AV9" s="12">
        <f t="shared" si="23"/>
        <v>1</v>
      </c>
      <c r="AW9" s="12">
        <f t="shared" si="24"/>
        <v>0.61290322580645162</v>
      </c>
      <c r="AX9" s="12">
        <f t="shared" si="25"/>
        <v>0.68</v>
      </c>
      <c r="AY9" s="13">
        <f t="shared" si="0"/>
        <v>0.63</v>
      </c>
    </row>
    <row r="10" spans="1:51" x14ac:dyDescent="0.35">
      <c r="A10" s="10" t="s">
        <v>7</v>
      </c>
      <c r="B10" s="4"/>
      <c r="C10" s="4"/>
      <c r="D10" s="4" t="s">
        <v>24</v>
      </c>
      <c r="E10" s="4"/>
      <c r="F10" s="4"/>
      <c r="G10" s="4"/>
      <c r="H10" s="4" t="s">
        <v>24</v>
      </c>
      <c r="I10" s="4" t="s">
        <v>24</v>
      </c>
      <c r="J10" s="4"/>
      <c r="K10" s="4"/>
      <c r="L10" s="4"/>
      <c r="M10" s="4"/>
      <c r="N10" s="4"/>
      <c r="O10" s="4"/>
      <c r="P10" s="4"/>
      <c r="Q10" s="11">
        <f t="shared" si="1"/>
        <v>36</v>
      </c>
      <c r="R10" s="4">
        <v>2</v>
      </c>
      <c r="S10" s="4">
        <v>2</v>
      </c>
      <c r="T10" s="4"/>
      <c r="U10" s="4">
        <v>2</v>
      </c>
      <c r="V10" s="4"/>
      <c r="W10" s="11">
        <f t="shared" si="2"/>
        <v>6</v>
      </c>
      <c r="X10" s="4">
        <v>17</v>
      </c>
      <c r="Y10" s="4">
        <v>19</v>
      </c>
      <c r="Z10" s="11">
        <f t="shared" si="3"/>
        <v>36</v>
      </c>
      <c r="AA10" s="7">
        <f t="shared" si="4"/>
        <v>78</v>
      </c>
      <c r="AC10" s="4">
        <f t="shared" si="5"/>
        <v>12.5</v>
      </c>
      <c r="AD10" s="4">
        <f t="shared" si="6"/>
        <v>3</v>
      </c>
      <c r="AE10" s="4">
        <f t="shared" si="7"/>
        <v>12.5</v>
      </c>
      <c r="AF10" s="4">
        <f t="shared" si="8"/>
        <v>3</v>
      </c>
      <c r="AG10" s="4">
        <f t="shared" si="9"/>
        <v>14</v>
      </c>
      <c r="AH10" s="4">
        <f t="shared" si="10"/>
        <v>3</v>
      </c>
      <c r="AI10" s="4">
        <f t="shared" si="11"/>
        <v>5</v>
      </c>
      <c r="AJ10" s="4">
        <f t="shared" si="12"/>
        <v>1.5</v>
      </c>
      <c r="AK10" s="4">
        <f t="shared" si="13"/>
        <v>11.5</v>
      </c>
      <c r="AL10" s="4">
        <f t="shared" si="14"/>
        <v>12</v>
      </c>
      <c r="AM10" s="7">
        <f t="shared" si="15"/>
        <v>78</v>
      </c>
      <c r="AO10" s="12">
        <f t="shared" si="16"/>
        <v>0.625</v>
      </c>
      <c r="AP10" s="12">
        <f t="shared" si="17"/>
        <v>0.6</v>
      </c>
      <c r="AQ10" s="12">
        <f t="shared" si="18"/>
        <v>0.96153846153846156</v>
      </c>
      <c r="AR10" s="12">
        <f t="shared" si="19"/>
        <v>1</v>
      </c>
      <c r="AS10" s="12">
        <f t="shared" si="20"/>
        <v>0.71794871794871795</v>
      </c>
      <c r="AT10" s="12">
        <f t="shared" si="21"/>
        <v>0.6</v>
      </c>
      <c r="AU10" s="12">
        <f t="shared" si="22"/>
        <v>1</v>
      </c>
      <c r="AV10" s="12">
        <f t="shared" si="23"/>
        <v>1</v>
      </c>
      <c r="AW10" s="12">
        <f t="shared" si="24"/>
        <v>0.74193548387096775</v>
      </c>
      <c r="AX10" s="12">
        <f t="shared" si="25"/>
        <v>0.96</v>
      </c>
      <c r="AY10" s="13">
        <f t="shared" si="0"/>
        <v>0.78</v>
      </c>
    </row>
    <row r="11" spans="1:51" x14ac:dyDescent="0.35">
      <c r="A11" s="10" t="s">
        <v>8</v>
      </c>
      <c r="B11" s="4"/>
      <c r="C11" s="4"/>
      <c r="D11" s="4"/>
      <c r="E11" s="4"/>
      <c r="F11" s="4"/>
      <c r="G11" s="4" t="s">
        <v>24</v>
      </c>
      <c r="H11" s="4"/>
      <c r="I11" s="4"/>
      <c r="J11" s="4"/>
      <c r="K11" s="4"/>
      <c r="L11" s="4"/>
      <c r="M11" s="4"/>
      <c r="N11" s="4"/>
      <c r="O11" s="4"/>
      <c r="P11" s="4"/>
      <c r="Q11" s="11">
        <f t="shared" si="1"/>
        <v>42</v>
      </c>
      <c r="R11" s="15">
        <v>2</v>
      </c>
      <c r="S11" s="4"/>
      <c r="T11" s="4">
        <v>2</v>
      </c>
      <c r="U11" s="4">
        <v>2</v>
      </c>
      <c r="V11" s="4">
        <v>2</v>
      </c>
      <c r="W11" s="11">
        <f t="shared" si="2"/>
        <v>8</v>
      </c>
      <c r="X11" s="4">
        <v>14</v>
      </c>
      <c r="Y11" s="4">
        <v>20</v>
      </c>
      <c r="Z11" s="11">
        <f t="shared" si="3"/>
        <v>34</v>
      </c>
      <c r="AA11" s="7">
        <f t="shared" si="4"/>
        <v>84</v>
      </c>
      <c r="AC11" s="4">
        <f t="shared" si="5"/>
        <v>17.5</v>
      </c>
      <c r="AD11" s="4">
        <f t="shared" si="6"/>
        <v>5</v>
      </c>
      <c r="AE11" s="4">
        <f t="shared" si="7"/>
        <v>13</v>
      </c>
      <c r="AF11" s="4">
        <f t="shared" si="8"/>
        <v>3</v>
      </c>
      <c r="AG11" s="4">
        <f t="shared" si="9"/>
        <v>12.5</v>
      </c>
      <c r="AH11" s="4">
        <f t="shared" si="10"/>
        <v>5</v>
      </c>
      <c r="AI11" s="4">
        <f t="shared" si="11"/>
        <v>5</v>
      </c>
      <c r="AJ11" s="4">
        <f t="shared" si="12"/>
        <v>1.5</v>
      </c>
      <c r="AK11" s="4">
        <f t="shared" si="13"/>
        <v>10</v>
      </c>
      <c r="AL11" s="4">
        <f t="shared" si="14"/>
        <v>11.5</v>
      </c>
      <c r="AM11" s="7">
        <f t="shared" si="15"/>
        <v>84</v>
      </c>
      <c r="AO11" s="12">
        <f t="shared" si="16"/>
        <v>0.875</v>
      </c>
      <c r="AP11" s="12">
        <f t="shared" si="17"/>
        <v>1</v>
      </c>
      <c r="AQ11" s="12">
        <f t="shared" si="18"/>
        <v>1</v>
      </c>
      <c r="AR11" s="12">
        <f t="shared" si="19"/>
        <v>1</v>
      </c>
      <c r="AS11" s="12">
        <f t="shared" si="20"/>
        <v>0.64102564102564108</v>
      </c>
      <c r="AT11" s="12">
        <f t="shared" si="21"/>
        <v>1</v>
      </c>
      <c r="AU11" s="12">
        <f t="shared" si="22"/>
        <v>1</v>
      </c>
      <c r="AV11" s="12">
        <f t="shared" si="23"/>
        <v>1</v>
      </c>
      <c r="AW11" s="12">
        <f t="shared" si="24"/>
        <v>0.64516129032258063</v>
      </c>
      <c r="AX11" s="12">
        <f t="shared" si="25"/>
        <v>0.92</v>
      </c>
      <c r="AY11" s="13">
        <f t="shared" si="0"/>
        <v>0.84</v>
      </c>
    </row>
    <row r="12" spans="1:51" x14ac:dyDescent="0.35">
      <c r="A12" s="10" t="s">
        <v>9</v>
      </c>
      <c r="B12" s="4"/>
      <c r="C12" s="4"/>
      <c r="D12" s="4" t="s">
        <v>24</v>
      </c>
      <c r="E12" s="4"/>
      <c r="F12" s="4"/>
      <c r="G12" s="4" t="s">
        <v>24</v>
      </c>
      <c r="H12" s="4" t="s">
        <v>24</v>
      </c>
      <c r="I12" s="4"/>
      <c r="J12" s="4"/>
      <c r="K12" s="4"/>
      <c r="L12" s="4"/>
      <c r="M12" s="4"/>
      <c r="N12" s="4"/>
      <c r="O12" s="4"/>
      <c r="P12" s="4"/>
      <c r="Q12" s="11">
        <f t="shared" si="1"/>
        <v>36</v>
      </c>
      <c r="R12" s="4">
        <v>2</v>
      </c>
      <c r="S12" s="4"/>
      <c r="T12" s="4">
        <v>1</v>
      </c>
      <c r="U12" s="4">
        <v>2</v>
      </c>
      <c r="V12" s="4">
        <v>2</v>
      </c>
      <c r="W12" s="11">
        <f t="shared" si="2"/>
        <v>7</v>
      </c>
      <c r="X12" s="4">
        <v>12</v>
      </c>
      <c r="Y12" s="4">
        <v>9</v>
      </c>
      <c r="Z12" s="11">
        <f t="shared" si="3"/>
        <v>21</v>
      </c>
      <c r="AA12" s="7">
        <f t="shared" si="4"/>
        <v>64</v>
      </c>
      <c r="AC12" s="4">
        <f t="shared" si="5"/>
        <v>13</v>
      </c>
      <c r="AD12" s="4">
        <f t="shared" si="6"/>
        <v>4</v>
      </c>
      <c r="AE12" s="4">
        <f t="shared" si="7"/>
        <v>7.5</v>
      </c>
      <c r="AF12" s="4">
        <f t="shared" si="8"/>
        <v>3</v>
      </c>
      <c r="AG12" s="4">
        <f t="shared" si="9"/>
        <v>10</v>
      </c>
      <c r="AH12" s="4">
        <f t="shared" si="10"/>
        <v>5</v>
      </c>
      <c r="AI12" s="4">
        <f t="shared" si="11"/>
        <v>5</v>
      </c>
      <c r="AJ12" s="4">
        <f t="shared" si="12"/>
        <v>1.5</v>
      </c>
      <c r="AK12" s="4">
        <f t="shared" si="13"/>
        <v>9</v>
      </c>
      <c r="AL12" s="4">
        <f t="shared" si="14"/>
        <v>6</v>
      </c>
      <c r="AM12" s="7">
        <f t="shared" si="15"/>
        <v>64</v>
      </c>
      <c r="AO12" s="12">
        <f t="shared" si="16"/>
        <v>0.65</v>
      </c>
      <c r="AP12" s="12">
        <f t="shared" si="17"/>
        <v>0.8</v>
      </c>
      <c r="AQ12" s="12">
        <f t="shared" si="18"/>
        <v>0.57692307692307687</v>
      </c>
      <c r="AR12" s="12">
        <f t="shared" si="19"/>
        <v>1</v>
      </c>
      <c r="AS12" s="12">
        <f t="shared" si="20"/>
        <v>0.51282051282051277</v>
      </c>
      <c r="AT12" s="12">
        <f t="shared" si="21"/>
        <v>1</v>
      </c>
      <c r="AU12" s="12">
        <f t="shared" si="22"/>
        <v>1</v>
      </c>
      <c r="AV12" s="12">
        <f t="shared" si="23"/>
        <v>1</v>
      </c>
      <c r="AW12" s="12">
        <f t="shared" si="24"/>
        <v>0.58064516129032262</v>
      </c>
      <c r="AX12" s="12">
        <f t="shared" si="25"/>
        <v>0.48</v>
      </c>
      <c r="AY12" s="13">
        <f t="shared" si="0"/>
        <v>0.64</v>
      </c>
    </row>
    <row r="13" spans="1:51" x14ac:dyDescent="0.35">
      <c r="A13" s="10" t="s">
        <v>10</v>
      </c>
      <c r="B13" s="4"/>
      <c r="C13" s="4"/>
      <c r="D13" s="4" t="s">
        <v>24</v>
      </c>
      <c r="E13" s="4"/>
      <c r="F13" s="4" t="s">
        <v>24</v>
      </c>
      <c r="G13" s="4"/>
      <c r="H13" s="4" t="s">
        <v>24</v>
      </c>
      <c r="I13" s="4"/>
      <c r="J13" s="4"/>
      <c r="K13" s="4"/>
      <c r="L13" s="4" t="s">
        <v>24</v>
      </c>
      <c r="M13" s="4"/>
      <c r="N13" s="4"/>
      <c r="O13" s="4"/>
      <c r="P13" s="4"/>
      <c r="Q13" s="11">
        <f t="shared" si="1"/>
        <v>33</v>
      </c>
      <c r="R13" s="15">
        <v>2</v>
      </c>
      <c r="S13" s="4"/>
      <c r="T13" s="4">
        <v>1</v>
      </c>
      <c r="U13" s="4">
        <v>2</v>
      </c>
      <c r="V13" s="4"/>
      <c r="W13" s="11">
        <f t="shared" si="2"/>
        <v>5</v>
      </c>
      <c r="X13" s="4">
        <v>12</v>
      </c>
      <c r="Y13" s="4">
        <v>14</v>
      </c>
      <c r="Z13" s="11">
        <f t="shared" si="3"/>
        <v>26</v>
      </c>
      <c r="AA13" s="7">
        <f t="shared" si="4"/>
        <v>64</v>
      </c>
      <c r="AC13" s="4">
        <f t="shared" si="5"/>
        <v>13</v>
      </c>
      <c r="AD13" s="4">
        <f t="shared" si="6"/>
        <v>1</v>
      </c>
      <c r="AE13" s="4">
        <f t="shared" si="7"/>
        <v>10</v>
      </c>
      <c r="AF13" s="4">
        <f t="shared" si="8"/>
        <v>3</v>
      </c>
      <c r="AG13" s="4">
        <f t="shared" si="9"/>
        <v>10</v>
      </c>
      <c r="AH13" s="4">
        <f t="shared" si="10"/>
        <v>3</v>
      </c>
      <c r="AI13" s="4">
        <f t="shared" si="11"/>
        <v>5</v>
      </c>
      <c r="AJ13" s="4">
        <f t="shared" si="12"/>
        <v>1.5</v>
      </c>
      <c r="AK13" s="4">
        <f t="shared" si="13"/>
        <v>9</v>
      </c>
      <c r="AL13" s="4">
        <f t="shared" si="14"/>
        <v>8.5</v>
      </c>
      <c r="AM13" s="7">
        <f t="shared" si="15"/>
        <v>64</v>
      </c>
      <c r="AO13" s="12">
        <f t="shared" si="16"/>
        <v>0.65</v>
      </c>
      <c r="AP13" s="12">
        <f t="shared" si="17"/>
        <v>0.2</v>
      </c>
      <c r="AQ13" s="12">
        <f t="shared" si="18"/>
        <v>0.76923076923076927</v>
      </c>
      <c r="AR13" s="12">
        <f t="shared" si="19"/>
        <v>1</v>
      </c>
      <c r="AS13" s="12">
        <f t="shared" si="20"/>
        <v>0.51282051282051277</v>
      </c>
      <c r="AT13" s="12">
        <f t="shared" si="21"/>
        <v>0.6</v>
      </c>
      <c r="AU13" s="12">
        <f t="shared" si="22"/>
        <v>1</v>
      </c>
      <c r="AV13" s="12">
        <f t="shared" si="23"/>
        <v>1</v>
      </c>
      <c r="AW13" s="12">
        <f t="shared" si="24"/>
        <v>0.58064516129032262</v>
      </c>
      <c r="AX13" s="12">
        <f t="shared" si="25"/>
        <v>0.68</v>
      </c>
      <c r="AY13" s="13">
        <f t="shared" si="0"/>
        <v>0.64</v>
      </c>
    </row>
    <row r="15" spans="1:51" x14ac:dyDescent="0.35">
      <c r="B15" s="22">
        <v>1</v>
      </c>
      <c r="C15" s="22">
        <v>2</v>
      </c>
      <c r="D15" s="22">
        <v>3</v>
      </c>
      <c r="E15" s="22">
        <v>4</v>
      </c>
      <c r="F15" s="22">
        <v>5</v>
      </c>
      <c r="G15" s="22">
        <v>6</v>
      </c>
      <c r="H15" s="22">
        <v>7</v>
      </c>
      <c r="I15" s="22">
        <v>8</v>
      </c>
      <c r="J15" s="22">
        <v>9</v>
      </c>
      <c r="K15" s="22">
        <v>10</v>
      </c>
      <c r="L15" s="22">
        <v>11</v>
      </c>
      <c r="M15" s="22">
        <v>12</v>
      </c>
      <c r="N15" s="22">
        <v>13</v>
      </c>
      <c r="O15" s="22">
        <v>14</v>
      </c>
      <c r="P15" s="22">
        <v>15</v>
      </c>
      <c r="AC15" s="16" t="s">
        <v>34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51" x14ac:dyDescent="0.35">
      <c r="A16" s="22" t="s">
        <v>10</v>
      </c>
      <c r="B16" s="4">
        <f>IF(VLOOKUP($A$16,$A$1:$Z$13,B$15+1,0)="",3,0)</f>
        <v>3</v>
      </c>
      <c r="C16" s="4">
        <f t="shared" ref="C16:P16" si="26">IF(VLOOKUP($A$16,$A$1:$Z$13,C$15+1,0)="",3,0)</f>
        <v>3</v>
      </c>
      <c r="D16" s="4">
        <f t="shared" si="26"/>
        <v>0</v>
      </c>
      <c r="E16" s="4">
        <f t="shared" si="26"/>
        <v>3</v>
      </c>
      <c r="F16" s="4">
        <f t="shared" si="26"/>
        <v>0</v>
      </c>
      <c r="G16" s="4">
        <f t="shared" si="26"/>
        <v>3</v>
      </c>
      <c r="H16" s="4">
        <f t="shared" si="26"/>
        <v>0</v>
      </c>
      <c r="I16" s="4">
        <f t="shared" si="26"/>
        <v>3</v>
      </c>
      <c r="J16" s="4">
        <f t="shared" si="26"/>
        <v>3</v>
      </c>
      <c r="K16" s="4">
        <f t="shared" si="26"/>
        <v>3</v>
      </c>
      <c r="L16" s="4">
        <f t="shared" si="26"/>
        <v>0</v>
      </c>
      <c r="M16" s="4">
        <f t="shared" si="26"/>
        <v>3</v>
      </c>
      <c r="N16" s="4">
        <f t="shared" si="26"/>
        <v>3</v>
      </c>
      <c r="O16" s="4">
        <f t="shared" si="26"/>
        <v>3</v>
      </c>
      <c r="P16" s="4">
        <f t="shared" si="26"/>
        <v>3</v>
      </c>
      <c r="AC16" s="16" t="s">
        <v>25</v>
      </c>
      <c r="AD16" s="16"/>
      <c r="AE16" s="16" t="s">
        <v>28</v>
      </c>
      <c r="AF16" s="16"/>
      <c r="AG16" s="7" t="s">
        <v>29</v>
      </c>
      <c r="AH16" s="7" t="s">
        <v>31</v>
      </c>
      <c r="AI16" s="16" t="s">
        <v>32</v>
      </c>
      <c r="AJ16" s="16"/>
      <c r="AK16" s="16"/>
      <c r="AL16" s="16"/>
      <c r="AM16" s="20" t="s">
        <v>19</v>
      </c>
    </row>
    <row r="17" spans="2:39" x14ac:dyDescent="0.35">
      <c r="B17" s="4">
        <f>VLOOKUP($A$16,$A$1:$Z$13,B$15+17,0)</f>
        <v>2</v>
      </c>
      <c r="C17" s="4">
        <f t="shared" ref="C17:F17" si="27">VLOOKUP($A$16,$A$1:$Z$13,C$15+17,0)</f>
        <v>0</v>
      </c>
      <c r="D17" s="4">
        <f t="shared" si="27"/>
        <v>1</v>
      </c>
      <c r="E17" s="4">
        <f t="shared" si="27"/>
        <v>2</v>
      </c>
      <c r="F17" s="4">
        <f t="shared" si="27"/>
        <v>0</v>
      </c>
      <c r="AC17" s="7" t="s">
        <v>26</v>
      </c>
      <c r="AD17" s="7" t="s">
        <v>27</v>
      </c>
      <c r="AE17" s="7" t="s">
        <v>26</v>
      </c>
      <c r="AF17" s="7" t="s">
        <v>27</v>
      </c>
      <c r="AG17" s="7" t="s">
        <v>30</v>
      </c>
      <c r="AH17" s="7" t="s">
        <v>26</v>
      </c>
      <c r="AI17" s="7" t="s">
        <v>26</v>
      </c>
      <c r="AJ17" s="7" t="s">
        <v>27</v>
      </c>
      <c r="AK17" s="7" t="s">
        <v>30</v>
      </c>
      <c r="AL17" s="7" t="s">
        <v>33</v>
      </c>
      <c r="AM17" s="21"/>
    </row>
    <row r="18" spans="2:39" x14ac:dyDescent="0.35">
      <c r="B18" s="4">
        <f>VLOOKUP($A$16,$A$1:$Z$13,F$15+19,0)</f>
        <v>12</v>
      </c>
      <c r="C18" s="4">
        <f>VLOOKUP($A$16,$A$1:$Z$13,G$15+19,0)</f>
        <v>14</v>
      </c>
      <c r="H18" s="23">
        <f>SUM(B16:P16,B17:F17,B18:C18)</f>
        <v>64</v>
      </c>
      <c r="I18" s="23"/>
      <c r="M18" s="22">
        <f>VLOOKUP($A$16,Puntajes!$A$1:$I$13,6,0)</f>
        <v>0</v>
      </c>
      <c r="N18" s="22">
        <f>VLOOKUP($A$16,Puntajes!$A$1:$I$13,7,0)</f>
        <v>0</v>
      </c>
      <c r="O18" s="22">
        <f>VLOOKUP($A$16,Puntajes!$A$1:$I$13,8,0)</f>
        <v>1</v>
      </c>
      <c r="P18" s="22">
        <f>VLOOKUP($A$16,Puntajes!$A$1:$I$13,9,0)</f>
        <v>0</v>
      </c>
      <c r="AB18" s="8" t="s">
        <v>12</v>
      </c>
      <c r="AC18" s="14">
        <v>20</v>
      </c>
      <c r="AD18" s="4">
        <v>5</v>
      </c>
      <c r="AE18" s="4">
        <v>13</v>
      </c>
      <c r="AF18" s="4">
        <v>3</v>
      </c>
      <c r="AG18" s="4">
        <v>19.5</v>
      </c>
      <c r="AH18" s="4">
        <v>5</v>
      </c>
      <c r="AI18" s="4">
        <v>5</v>
      </c>
      <c r="AJ18" s="4">
        <v>1.5</v>
      </c>
      <c r="AK18" s="4">
        <v>15.5</v>
      </c>
      <c r="AL18" s="4">
        <v>12.5</v>
      </c>
      <c r="AM18" s="7">
        <f>SUM(AC18:AL18)</f>
        <v>100</v>
      </c>
    </row>
    <row r="19" spans="2:39" x14ac:dyDescent="0.35">
      <c r="H19" s="23">
        <f>VLOOKUP($A$16,Puntajes!A:K,10,0)</f>
        <v>65</v>
      </c>
      <c r="I19" s="23"/>
      <c r="J19" s="24">
        <f>VLOOKUP($A$16,Puntajes!A:K,11,0)</f>
        <v>4.4000000000000004</v>
      </c>
      <c r="K19" s="25"/>
      <c r="AB19" s="8" t="s">
        <v>35</v>
      </c>
      <c r="AC19" s="4">
        <v>10</v>
      </c>
      <c r="AD19" s="4">
        <v>2</v>
      </c>
      <c r="AE19" s="4">
        <v>2</v>
      </c>
      <c r="AF19" s="4">
        <v>1</v>
      </c>
      <c r="AG19" s="4">
        <v>6</v>
      </c>
      <c r="AH19" s="4">
        <v>2</v>
      </c>
      <c r="AI19" s="4">
        <v>5</v>
      </c>
      <c r="AJ19" s="4">
        <v>1</v>
      </c>
      <c r="AK19" s="4">
        <v>3</v>
      </c>
      <c r="AL19" s="4">
        <v>3</v>
      </c>
      <c r="AM19" s="7">
        <f>SUM(AC19:AL19)</f>
        <v>35</v>
      </c>
    </row>
  </sheetData>
  <mergeCells count="21">
    <mergeCell ref="J19:K19"/>
    <mergeCell ref="H19:I19"/>
    <mergeCell ref="H18:I18"/>
    <mergeCell ref="X1:Z1"/>
    <mergeCell ref="AC1:AD1"/>
    <mergeCell ref="AE1:AF1"/>
    <mergeCell ref="AU1:AX1"/>
    <mergeCell ref="A1:A2"/>
    <mergeCell ref="R1:W1"/>
    <mergeCell ref="B1:Q1"/>
    <mergeCell ref="AA1:AA2"/>
    <mergeCell ref="AM1:AM2"/>
    <mergeCell ref="AY1:AY2"/>
    <mergeCell ref="AE16:AF16"/>
    <mergeCell ref="AI16:AL16"/>
    <mergeCell ref="AM16:AM17"/>
    <mergeCell ref="AC15:AM15"/>
    <mergeCell ref="AO1:AP1"/>
    <mergeCell ref="AQ1:AR1"/>
    <mergeCell ref="AI1:AL1"/>
    <mergeCell ref="AC16:AD16"/>
  </mergeCells>
  <conditionalFormatting sqref="AO3:AX13">
    <cfRule type="cellIs" dxfId="2" priority="2" operator="lessThan">
      <formula>0.6</formula>
    </cfRule>
    <cfRule type="cellIs" dxfId="1" priority="3" operator="lessThan">
      <formula>0.8</formula>
    </cfRule>
  </conditionalFormatting>
  <conditionalFormatting sqref="A3:A13">
    <cfRule type="cellIs" dxfId="0" priority="1" operator="equal">
      <formula>$A$16</formula>
    </cfRule>
  </conditionalFormatting>
  <dataValidations count="1">
    <dataValidation type="list" allowBlank="1" showInputMessage="1" showErrorMessage="1" sqref="A16" xr:uid="{AB39F9CB-7908-4921-9521-BBAFF5276383}">
      <formula1>$A$3:$A$13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F67F-E731-4D40-B161-EDA99164EEAE}">
  <dimension ref="A1:B102"/>
  <sheetViews>
    <sheetView workbookViewId="0"/>
  </sheetViews>
  <sheetFormatPr baseColWidth="10" defaultRowHeight="14.5" x14ac:dyDescent="0.35"/>
  <sheetData>
    <row r="1" spans="1:2" x14ac:dyDescent="0.35">
      <c r="A1" t="s">
        <v>21</v>
      </c>
      <c r="B1" t="s">
        <v>22</v>
      </c>
    </row>
    <row r="2" spans="1:2" x14ac:dyDescent="0.35">
      <c r="A2">
        <v>0</v>
      </c>
      <c r="B2">
        <v>1</v>
      </c>
    </row>
    <row r="3" spans="1:2" x14ac:dyDescent="0.35">
      <c r="A3">
        <v>1</v>
      </c>
      <c r="B3">
        <v>1.1000000000000001</v>
      </c>
    </row>
    <row r="4" spans="1:2" x14ac:dyDescent="0.35">
      <c r="A4">
        <v>2</v>
      </c>
      <c r="B4">
        <v>1.1000000000000001</v>
      </c>
    </row>
    <row r="5" spans="1:2" x14ac:dyDescent="0.35">
      <c r="A5">
        <v>3</v>
      </c>
      <c r="B5">
        <v>1.2</v>
      </c>
    </row>
    <row r="6" spans="1:2" x14ac:dyDescent="0.35">
      <c r="A6">
        <v>4</v>
      </c>
      <c r="B6">
        <v>1.2</v>
      </c>
    </row>
    <row r="7" spans="1:2" x14ac:dyDescent="0.35">
      <c r="A7">
        <v>5</v>
      </c>
      <c r="B7">
        <v>1.3</v>
      </c>
    </row>
    <row r="8" spans="1:2" x14ac:dyDescent="0.35">
      <c r="A8">
        <v>6</v>
      </c>
      <c r="B8">
        <v>1.3</v>
      </c>
    </row>
    <row r="9" spans="1:2" x14ac:dyDescent="0.35">
      <c r="A9">
        <v>7</v>
      </c>
      <c r="B9">
        <v>1.4</v>
      </c>
    </row>
    <row r="10" spans="1:2" x14ac:dyDescent="0.35">
      <c r="A10">
        <v>8</v>
      </c>
      <c r="B10">
        <v>1.4</v>
      </c>
    </row>
    <row r="11" spans="1:2" x14ac:dyDescent="0.35">
      <c r="A11">
        <v>9</v>
      </c>
      <c r="B11">
        <v>1.5</v>
      </c>
    </row>
    <row r="12" spans="1:2" x14ac:dyDescent="0.35">
      <c r="A12">
        <v>10</v>
      </c>
      <c r="B12">
        <v>1.5</v>
      </c>
    </row>
    <row r="13" spans="1:2" x14ac:dyDescent="0.35">
      <c r="A13">
        <v>11</v>
      </c>
      <c r="B13">
        <v>1.6</v>
      </c>
    </row>
    <row r="14" spans="1:2" x14ac:dyDescent="0.35">
      <c r="A14">
        <v>12</v>
      </c>
      <c r="B14">
        <v>1.6</v>
      </c>
    </row>
    <row r="15" spans="1:2" x14ac:dyDescent="0.35">
      <c r="A15">
        <v>13</v>
      </c>
      <c r="B15">
        <v>1.7</v>
      </c>
    </row>
    <row r="16" spans="1:2" x14ac:dyDescent="0.35">
      <c r="A16">
        <v>14</v>
      </c>
      <c r="B16">
        <v>1.7</v>
      </c>
    </row>
    <row r="17" spans="1:2" x14ac:dyDescent="0.35">
      <c r="A17">
        <v>15</v>
      </c>
      <c r="B17">
        <v>1.8</v>
      </c>
    </row>
    <row r="18" spans="1:2" x14ac:dyDescent="0.35">
      <c r="A18">
        <v>16</v>
      </c>
      <c r="B18">
        <v>1.8</v>
      </c>
    </row>
    <row r="19" spans="1:2" x14ac:dyDescent="0.35">
      <c r="A19">
        <v>17</v>
      </c>
      <c r="B19">
        <v>1.9</v>
      </c>
    </row>
    <row r="20" spans="1:2" x14ac:dyDescent="0.35">
      <c r="A20">
        <v>18</v>
      </c>
      <c r="B20">
        <v>1.9</v>
      </c>
    </row>
    <row r="21" spans="1:2" x14ac:dyDescent="0.35">
      <c r="A21">
        <v>19</v>
      </c>
      <c r="B21">
        <v>2</v>
      </c>
    </row>
    <row r="22" spans="1:2" x14ac:dyDescent="0.35">
      <c r="A22">
        <v>20</v>
      </c>
      <c r="B22">
        <v>2</v>
      </c>
    </row>
    <row r="23" spans="1:2" x14ac:dyDescent="0.35">
      <c r="A23">
        <v>21</v>
      </c>
      <c r="B23">
        <v>2.1</v>
      </c>
    </row>
    <row r="24" spans="1:2" x14ac:dyDescent="0.35">
      <c r="A24">
        <v>22</v>
      </c>
      <c r="B24">
        <v>2.1</v>
      </c>
    </row>
    <row r="25" spans="1:2" x14ac:dyDescent="0.35">
      <c r="A25">
        <v>23</v>
      </c>
      <c r="B25">
        <v>2.2000000000000002</v>
      </c>
    </row>
    <row r="26" spans="1:2" x14ac:dyDescent="0.35">
      <c r="A26">
        <v>24</v>
      </c>
      <c r="B26">
        <v>2.2000000000000002</v>
      </c>
    </row>
    <row r="27" spans="1:2" x14ac:dyDescent="0.35">
      <c r="A27">
        <v>25</v>
      </c>
      <c r="B27">
        <v>2.2999999999999998</v>
      </c>
    </row>
    <row r="28" spans="1:2" x14ac:dyDescent="0.35">
      <c r="A28">
        <v>26</v>
      </c>
      <c r="B28">
        <v>2.2999999999999998</v>
      </c>
    </row>
    <row r="29" spans="1:2" x14ac:dyDescent="0.35">
      <c r="A29">
        <v>27</v>
      </c>
      <c r="B29">
        <v>2.4</v>
      </c>
    </row>
    <row r="30" spans="1:2" x14ac:dyDescent="0.35">
      <c r="A30">
        <v>28</v>
      </c>
      <c r="B30">
        <v>2.4</v>
      </c>
    </row>
    <row r="31" spans="1:2" x14ac:dyDescent="0.35">
      <c r="A31">
        <v>29</v>
      </c>
      <c r="B31">
        <v>2.5</v>
      </c>
    </row>
    <row r="32" spans="1:2" x14ac:dyDescent="0.35">
      <c r="A32">
        <v>30</v>
      </c>
      <c r="B32">
        <v>2.5</v>
      </c>
    </row>
    <row r="33" spans="1:2" x14ac:dyDescent="0.35">
      <c r="A33">
        <v>31</v>
      </c>
      <c r="B33">
        <v>2.6</v>
      </c>
    </row>
    <row r="34" spans="1:2" x14ac:dyDescent="0.35">
      <c r="A34">
        <v>32</v>
      </c>
      <c r="B34">
        <v>2.6</v>
      </c>
    </row>
    <row r="35" spans="1:2" x14ac:dyDescent="0.35">
      <c r="A35">
        <v>33</v>
      </c>
      <c r="B35">
        <v>2.7</v>
      </c>
    </row>
    <row r="36" spans="1:2" x14ac:dyDescent="0.35">
      <c r="A36">
        <v>34</v>
      </c>
      <c r="B36">
        <v>2.7</v>
      </c>
    </row>
    <row r="37" spans="1:2" x14ac:dyDescent="0.35">
      <c r="A37">
        <v>35</v>
      </c>
      <c r="B37">
        <v>2.8</v>
      </c>
    </row>
    <row r="38" spans="1:2" x14ac:dyDescent="0.35">
      <c r="A38">
        <v>36</v>
      </c>
      <c r="B38">
        <v>2.8</v>
      </c>
    </row>
    <row r="39" spans="1:2" x14ac:dyDescent="0.35">
      <c r="A39">
        <v>37</v>
      </c>
      <c r="B39">
        <v>2.9</v>
      </c>
    </row>
    <row r="40" spans="1:2" x14ac:dyDescent="0.35">
      <c r="A40">
        <v>38</v>
      </c>
      <c r="B40">
        <v>2.9</v>
      </c>
    </row>
    <row r="41" spans="1:2" x14ac:dyDescent="0.35">
      <c r="A41">
        <v>39</v>
      </c>
      <c r="B41">
        <v>3</v>
      </c>
    </row>
    <row r="42" spans="1:2" x14ac:dyDescent="0.35">
      <c r="A42">
        <v>40</v>
      </c>
      <c r="B42">
        <v>3</v>
      </c>
    </row>
    <row r="43" spans="1:2" x14ac:dyDescent="0.35">
      <c r="A43">
        <v>41</v>
      </c>
      <c r="B43">
        <v>3.1</v>
      </c>
    </row>
    <row r="44" spans="1:2" x14ac:dyDescent="0.35">
      <c r="A44">
        <v>42</v>
      </c>
      <c r="B44">
        <v>3.1</v>
      </c>
    </row>
    <row r="45" spans="1:2" x14ac:dyDescent="0.35">
      <c r="A45">
        <v>43</v>
      </c>
      <c r="B45">
        <v>3.2</v>
      </c>
    </row>
    <row r="46" spans="1:2" x14ac:dyDescent="0.35">
      <c r="A46">
        <v>44</v>
      </c>
      <c r="B46">
        <v>3.2</v>
      </c>
    </row>
    <row r="47" spans="1:2" x14ac:dyDescent="0.35">
      <c r="A47">
        <v>45</v>
      </c>
      <c r="B47">
        <v>3.3</v>
      </c>
    </row>
    <row r="48" spans="1:2" x14ac:dyDescent="0.35">
      <c r="A48">
        <v>46</v>
      </c>
      <c r="B48">
        <v>3.3</v>
      </c>
    </row>
    <row r="49" spans="1:2" x14ac:dyDescent="0.35">
      <c r="A49">
        <v>47</v>
      </c>
      <c r="B49">
        <v>3.4</v>
      </c>
    </row>
    <row r="50" spans="1:2" x14ac:dyDescent="0.35">
      <c r="A50">
        <v>48</v>
      </c>
      <c r="B50">
        <v>3.4</v>
      </c>
    </row>
    <row r="51" spans="1:2" x14ac:dyDescent="0.35">
      <c r="A51">
        <v>49</v>
      </c>
      <c r="B51">
        <v>3.5</v>
      </c>
    </row>
    <row r="52" spans="1:2" x14ac:dyDescent="0.35">
      <c r="A52">
        <v>50</v>
      </c>
      <c r="B52">
        <v>3.5</v>
      </c>
    </row>
    <row r="53" spans="1:2" x14ac:dyDescent="0.35">
      <c r="A53">
        <v>51</v>
      </c>
      <c r="B53">
        <v>3.6</v>
      </c>
    </row>
    <row r="54" spans="1:2" x14ac:dyDescent="0.35">
      <c r="A54">
        <v>52</v>
      </c>
      <c r="B54">
        <v>3.6</v>
      </c>
    </row>
    <row r="55" spans="1:2" x14ac:dyDescent="0.35">
      <c r="A55">
        <v>53</v>
      </c>
      <c r="B55">
        <v>3.7</v>
      </c>
    </row>
    <row r="56" spans="1:2" x14ac:dyDescent="0.35">
      <c r="A56">
        <v>54</v>
      </c>
      <c r="B56">
        <v>3.7</v>
      </c>
    </row>
    <row r="57" spans="1:2" x14ac:dyDescent="0.35">
      <c r="A57">
        <v>55</v>
      </c>
      <c r="B57">
        <v>3.8</v>
      </c>
    </row>
    <row r="58" spans="1:2" x14ac:dyDescent="0.35">
      <c r="A58">
        <v>56</v>
      </c>
      <c r="B58">
        <v>3.8</v>
      </c>
    </row>
    <row r="59" spans="1:2" x14ac:dyDescent="0.35">
      <c r="A59">
        <v>57</v>
      </c>
      <c r="B59">
        <v>3.9</v>
      </c>
    </row>
    <row r="60" spans="1:2" x14ac:dyDescent="0.35">
      <c r="A60">
        <v>58</v>
      </c>
      <c r="B60">
        <v>3.9</v>
      </c>
    </row>
    <row r="61" spans="1:2" x14ac:dyDescent="0.35">
      <c r="A61">
        <v>59</v>
      </c>
      <c r="B61">
        <v>4</v>
      </c>
    </row>
    <row r="62" spans="1:2" x14ac:dyDescent="0.35">
      <c r="A62">
        <v>60</v>
      </c>
      <c r="B62">
        <v>4</v>
      </c>
    </row>
    <row r="63" spans="1:2" x14ac:dyDescent="0.35">
      <c r="A63">
        <v>61</v>
      </c>
      <c r="B63">
        <v>4.0999999999999996</v>
      </c>
    </row>
    <row r="64" spans="1:2" x14ac:dyDescent="0.35">
      <c r="A64">
        <v>62</v>
      </c>
      <c r="B64">
        <v>4.2</v>
      </c>
    </row>
    <row r="65" spans="1:2" x14ac:dyDescent="0.35">
      <c r="A65">
        <v>63</v>
      </c>
      <c r="B65">
        <v>4.2</v>
      </c>
    </row>
    <row r="66" spans="1:2" x14ac:dyDescent="0.35">
      <c r="A66">
        <v>64</v>
      </c>
      <c r="B66">
        <v>4.3</v>
      </c>
    </row>
    <row r="67" spans="1:2" x14ac:dyDescent="0.35">
      <c r="A67">
        <v>65</v>
      </c>
      <c r="B67">
        <v>4.4000000000000004</v>
      </c>
    </row>
    <row r="68" spans="1:2" x14ac:dyDescent="0.35">
      <c r="A68">
        <v>66</v>
      </c>
      <c r="B68">
        <v>4.5</v>
      </c>
    </row>
    <row r="69" spans="1:2" x14ac:dyDescent="0.35">
      <c r="A69">
        <v>67</v>
      </c>
      <c r="B69">
        <v>4.5</v>
      </c>
    </row>
    <row r="70" spans="1:2" x14ac:dyDescent="0.35">
      <c r="A70">
        <v>68</v>
      </c>
      <c r="B70">
        <v>4.5999999999999996</v>
      </c>
    </row>
    <row r="71" spans="1:2" x14ac:dyDescent="0.35">
      <c r="A71">
        <v>69</v>
      </c>
      <c r="B71">
        <v>4.7</v>
      </c>
    </row>
    <row r="72" spans="1:2" x14ac:dyDescent="0.35">
      <c r="A72">
        <v>70</v>
      </c>
      <c r="B72">
        <v>4.8</v>
      </c>
    </row>
    <row r="73" spans="1:2" x14ac:dyDescent="0.35">
      <c r="A73">
        <v>71</v>
      </c>
      <c r="B73">
        <v>4.8</v>
      </c>
    </row>
    <row r="74" spans="1:2" x14ac:dyDescent="0.35">
      <c r="A74">
        <v>72</v>
      </c>
      <c r="B74">
        <v>4.9000000000000004</v>
      </c>
    </row>
    <row r="75" spans="1:2" x14ac:dyDescent="0.35">
      <c r="A75">
        <v>73</v>
      </c>
      <c r="B75">
        <v>5</v>
      </c>
    </row>
    <row r="76" spans="1:2" x14ac:dyDescent="0.35">
      <c r="A76">
        <v>74</v>
      </c>
      <c r="B76">
        <v>5.0999999999999996</v>
      </c>
    </row>
    <row r="77" spans="1:2" x14ac:dyDescent="0.35">
      <c r="A77">
        <v>75</v>
      </c>
      <c r="B77">
        <v>5.0999999999999996</v>
      </c>
    </row>
    <row r="78" spans="1:2" x14ac:dyDescent="0.35">
      <c r="A78">
        <v>76</v>
      </c>
      <c r="B78">
        <v>5.2</v>
      </c>
    </row>
    <row r="79" spans="1:2" x14ac:dyDescent="0.35">
      <c r="A79">
        <v>77</v>
      </c>
      <c r="B79">
        <v>5.3</v>
      </c>
    </row>
    <row r="80" spans="1:2" x14ac:dyDescent="0.35">
      <c r="A80">
        <v>78</v>
      </c>
      <c r="B80">
        <v>5.4</v>
      </c>
    </row>
    <row r="81" spans="1:2" x14ac:dyDescent="0.35">
      <c r="A81">
        <v>79</v>
      </c>
      <c r="B81">
        <v>5.4</v>
      </c>
    </row>
    <row r="82" spans="1:2" x14ac:dyDescent="0.35">
      <c r="A82">
        <v>80</v>
      </c>
      <c r="B82">
        <v>5.5</v>
      </c>
    </row>
    <row r="83" spans="1:2" x14ac:dyDescent="0.35">
      <c r="A83">
        <v>81</v>
      </c>
      <c r="B83">
        <v>5.6</v>
      </c>
    </row>
    <row r="84" spans="1:2" x14ac:dyDescent="0.35">
      <c r="A84">
        <v>82</v>
      </c>
      <c r="B84">
        <v>5.7</v>
      </c>
    </row>
    <row r="85" spans="1:2" x14ac:dyDescent="0.35">
      <c r="A85">
        <v>83</v>
      </c>
      <c r="B85">
        <v>5.7</v>
      </c>
    </row>
    <row r="86" spans="1:2" x14ac:dyDescent="0.35">
      <c r="A86">
        <v>84</v>
      </c>
      <c r="B86">
        <v>5.8</v>
      </c>
    </row>
    <row r="87" spans="1:2" x14ac:dyDescent="0.35">
      <c r="A87">
        <v>85</v>
      </c>
      <c r="B87">
        <v>5.9</v>
      </c>
    </row>
    <row r="88" spans="1:2" x14ac:dyDescent="0.35">
      <c r="A88">
        <v>86</v>
      </c>
      <c r="B88">
        <v>6</v>
      </c>
    </row>
    <row r="89" spans="1:2" x14ac:dyDescent="0.35">
      <c r="A89">
        <v>87</v>
      </c>
      <c r="B89">
        <v>6</v>
      </c>
    </row>
    <row r="90" spans="1:2" x14ac:dyDescent="0.35">
      <c r="A90">
        <v>88</v>
      </c>
      <c r="B90">
        <v>6.1</v>
      </c>
    </row>
    <row r="91" spans="1:2" x14ac:dyDescent="0.35">
      <c r="A91">
        <v>89</v>
      </c>
      <c r="B91">
        <v>6.2</v>
      </c>
    </row>
    <row r="92" spans="1:2" x14ac:dyDescent="0.35">
      <c r="A92">
        <v>90</v>
      </c>
      <c r="B92">
        <v>6.3</v>
      </c>
    </row>
    <row r="93" spans="1:2" x14ac:dyDescent="0.35">
      <c r="A93">
        <v>91</v>
      </c>
      <c r="B93">
        <v>6.3</v>
      </c>
    </row>
    <row r="94" spans="1:2" x14ac:dyDescent="0.35">
      <c r="A94">
        <v>92</v>
      </c>
      <c r="B94">
        <v>6.4</v>
      </c>
    </row>
    <row r="95" spans="1:2" x14ac:dyDescent="0.35">
      <c r="A95">
        <v>93</v>
      </c>
      <c r="B95">
        <v>6.5</v>
      </c>
    </row>
    <row r="96" spans="1:2" x14ac:dyDescent="0.35">
      <c r="A96">
        <v>94</v>
      </c>
      <c r="B96">
        <v>6.6</v>
      </c>
    </row>
    <row r="97" spans="1:2" x14ac:dyDescent="0.35">
      <c r="A97">
        <v>95</v>
      </c>
      <c r="B97">
        <v>6.6</v>
      </c>
    </row>
    <row r="98" spans="1:2" x14ac:dyDescent="0.35">
      <c r="A98">
        <v>96</v>
      </c>
      <c r="B98">
        <v>6.7</v>
      </c>
    </row>
    <row r="99" spans="1:2" x14ac:dyDescent="0.35">
      <c r="A99">
        <v>97</v>
      </c>
      <c r="B99">
        <v>6.8</v>
      </c>
    </row>
    <row r="100" spans="1:2" x14ac:dyDescent="0.35">
      <c r="A100">
        <v>98</v>
      </c>
      <c r="B100">
        <v>6.9</v>
      </c>
    </row>
    <row r="101" spans="1:2" x14ac:dyDescent="0.35">
      <c r="A101">
        <v>99</v>
      </c>
      <c r="B101">
        <v>6.9</v>
      </c>
    </row>
    <row r="102" spans="1:2" x14ac:dyDescent="0.35">
      <c r="A102">
        <v>100</v>
      </c>
      <c r="B10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Puntajes</vt:lpstr>
      <vt:lpstr>Indicadores de desempeño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Varas</dc:creator>
  <cp:lastModifiedBy>Pablo Varas</cp:lastModifiedBy>
  <dcterms:created xsi:type="dcterms:W3CDTF">2015-06-05T18:19:34Z</dcterms:created>
  <dcterms:modified xsi:type="dcterms:W3CDTF">2025-09-12T22:39:22Z</dcterms:modified>
</cp:coreProperties>
</file>