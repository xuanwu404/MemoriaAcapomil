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vara\Desktop\Clases\ACAPOMIL\Bases de Datos Sist Armas\Evaluaciones\Evaluación 1\"/>
    </mc:Choice>
  </mc:AlternateContent>
  <xr:revisionPtr revIDLastSave="0" documentId="13_ncr:1_{CD8193F6-667B-4836-800B-F4B36B45EB8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eguntas" sheetId="1" r:id="rId1"/>
    <sheet name="Detalle de I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2" l="1"/>
  <c r="C37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D28" i="2"/>
  <c r="C28" i="2"/>
  <c r="D24" i="2"/>
  <c r="C24" i="2"/>
  <c r="D23" i="2"/>
  <c r="C23" i="2"/>
  <c r="D22" i="2"/>
  <c r="C22" i="2"/>
  <c r="D21" i="2"/>
  <c r="C21" i="2"/>
  <c r="D20" i="2"/>
  <c r="C20" i="2"/>
  <c r="D16" i="2"/>
  <c r="C16" i="2"/>
  <c r="D15" i="2"/>
  <c r="C15" i="2"/>
  <c r="D14" i="2"/>
  <c r="C14" i="2"/>
  <c r="D10" i="2"/>
  <c r="C10" i="2"/>
  <c r="D9" i="2"/>
  <c r="C9" i="2"/>
  <c r="D8" i="2"/>
  <c r="C8" i="2"/>
  <c r="D3" i="2"/>
  <c r="D2" i="2"/>
  <c r="C3" i="2"/>
  <c r="C2" i="2"/>
  <c r="C5" i="2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C17" i="2" l="1"/>
  <c r="C11" i="2"/>
  <c r="I4" i="1"/>
  <c r="K4" i="1" s="1" a="1"/>
  <c r="K4" i="1" s="1"/>
  <c r="I7" i="1"/>
  <c r="K7" i="1" s="1" a="1"/>
  <c r="K7" i="1" s="1"/>
  <c r="I8" i="1"/>
  <c r="K8" i="1" s="1" a="1"/>
  <c r="K8" i="1" s="1"/>
  <c r="I9" i="1"/>
  <c r="K9" i="1" s="1" a="1"/>
  <c r="K9" i="1" s="1"/>
  <c r="I12" i="1"/>
  <c r="K12" i="1" s="1" a="1"/>
  <c r="K12" i="1" s="1"/>
  <c r="I13" i="1"/>
  <c r="K13" i="1" s="1" a="1"/>
  <c r="K13" i="1" s="1"/>
  <c r="I14" i="1"/>
  <c r="K14" i="1" s="1" a="1"/>
  <c r="K14" i="1" s="1"/>
  <c r="I15" i="1"/>
  <c r="K15" i="1" s="1" a="1"/>
  <c r="K15" i="1" s="1"/>
  <c r="I20" i="1"/>
  <c r="K20" i="1" s="1" a="1"/>
  <c r="K20" i="1" s="1"/>
  <c r="I21" i="1"/>
  <c r="K21" i="1" s="1" a="1"/>
  <c r="K21" i="1" s="1"/>
  <c r="I22" i="1"/>
  <c r="K22" i="1" s="1" a="1"/>
  <c r="K22" i="1" s="1"/>
  <c r="I23" i="1"/>
  <c r="K23" i="1" s="1" a="1"/>
  <c r="K23" i="1" s="1"/>
  <c r="I24" i="1"/>
  <c r="K24" i="1" s="1" a="1"/>
  <c r="K24" i="1" s="1"/>
  <c r="I6" i="1"/>
  <c r="K6" i="1" s="1" a="1"/>
  <c r="K6" i="1" s="1"/>
  <c r="I5" i="1"/>
  <c r="K5" i="1" s="1" a="1"/>
  <c r="K5" i="1" s="1"/>
  <c r="I17" i="1"/>
  <c r="K17" i="1" s="1" a="1"/>
  <c r="K17" i="1" s="1"/>
  <c r="I16" i="1"/>
  <c r="K16" i="1" s="1" a="1"/>
  <c r="K16" i="1" s="1"/>
  <c r="E24" i="1"/>
  <c r="I2" i="1" l="1"/>
  <c r="I3" i="1"/>
  <c r="K3" i="1" s="1" a="1"/>
  <c r="K3" i="1" s="1"/>
  <c r="I11" i="1"/>
  <c r="K11" i="1" s="1" a="1"/>
  <c r="K11" i="1" s="1"/>
  <c r="I18" i="1"/>
  <c r="K18" i="1" s="1" a="1"/>
  <c r="K18" i="1" s="1"/>
  <c r="I19" i="1"/>
  <c r="K19" i="1" s="1" a="1"/>
  <c r="K19" i="1" s="1"/>
  <c r="I10" i="1"/>
  <c r="K10" i="1" s="1" a="1"/>
  <c r="K10" i="1" s="1"/>
  <c r="K2" i="1" l="1" a="1"/>
  <c r="K2" i="1" s="1"/>
  <c r="I2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<sst xmlns="http://schemas.openxmlformats.org/spreadsheetml/2006/main" count="158" uniqueCount="94">
  <si>
    <t>Pregunta</t>
  </si>
  <si>
    <t>2.2</t>
  </si>
  <si>
    <t>1.1</t>
  </si>
  <si>
    <t>4.1</t>
  </si>
  <si>
    <t>1.2</t>
  </si>
  <si>
    <t>2.1</t>
  </si>
  <si>
    <t>5.1</t>
  </si>
  <si>
    <t>puntos</t>
  </si>
  <si>
    <t>INDICADOR</t>
  </si>
  <si>
    <t>1.3</t>
  </si>
  <si>
    <t>2.3</t>
  </si>
  <si>
    <t>3.3</t>
  </si>
  <si>
    <t>3.1</t>
  </si>
  <si>
    <t>3.2</t>
  </si>
  <si>
    <t>4.2</t>
  </si>
  <si>
    <t>4.3</t>
  </si>
  <si>
    <t>4.4</t>
  </si>
  <si>
    <t>4.5</t>
  </si>
  <si>
    <t>5.2</t>
  </si>
  <si>
    <t>5.3</t>
  </si>
  <si>
    <t>5.4</t>
  </si>
  <si>
    <t>5.5</t>
  </si>
  <si>
    <t>5.6</t>
  </si>
  <si>
    <t>5.7</t>
  </si>
  <si>
    <t>5.8</t>
  </si>
  <si>
    <t>5.9</t>
  </si>
  <si>
    <t>Columna1</t>
  </si>
  <si>
    <t>I1</t>
  </si>
  <si>
    <t>I2</t>
  </si>
  <si>
    <t>%</t>
  </si>
  <si>
    <t>Individual</t>
  </si>
  <si>
    <t>De que trata</t>
  </si>
  <si>
    <t>I.1</t>
  </si>
  <si>
    <t>Entidad débil</t>
  </si>
  <si>
    <t>I.2</t>
  </si>
  <si>
    <t>Integridad referencial</t>
  </si>
  <si>
    <t>I.3</t>
  </si>
  <si>
    <t>Atributo derivado</t>
  </si>
  <si>
    <t>I.4</t>
  </si>
  <si>
    <t>ROLLBACK sin savepoint</t>
  </si>
  <si>
    <t>I.5</t>
  </si>
  <si>
    <t>Proyección (π) → SELECT</t>
  </si>
  <si>
    <t>I.6</t>
  </si>
  <si>
    <t>Relación vehículo–dueños (N:N)</t>
  </si>
  <si>
    <t>I.7</t>
  </si>
  <si>
    <t>Atributo multivaluado → tabla 1:N</t>
  </si>
  <si>
    <t>I.8</t>
  </si>
  <si>
    <t>Atributo compuesto → columnas</t>
  </si>
  <si>
    <t>I.9</t>
  </si>
  <si>
    <t>Tipo de dato TIMESTAMP</t>
  </si>
  <si>
    <t>I.10</t>
  </si>
  <si>
    <t>Características BD relacionales</t>
  </si>
  <si>
    <t>I.11</t>
  </si>
  <si>
    <t>ISA total y exclusiva</t>
  </si>
  <si>
    <t>I.12</t>
  </si>
  <si>
    <t>Modelo conceptual vs lógico</t>
  </si>
  <si>
    <t>I.13</t>
  </si>
  <si>
    <t>Data Lake vs DW</t>
  </si>
  <si>
    <t>I.14</t>
  </si>
  <si>
    <t>Dominio en el modelo relacional</t>
  </si>
  <si>
    <t>I.15</t>
  </si>
  <si>
    <t>Problema de falta de estructura</t>
  </si>
  <si>
    <t>II.1</t>
  </si>
  <si>
    <t>DROP TABLE elimina tabla</t>
  </si>
  <si>
    <t>II.2</t>
  </si>
  <si>
    <t>Relación N:N implementada con FK directa</t>
  </si>
  <si>
    <t>II.3</t>
  </si>
  <si>
    <t>Selección reduce columnas</t>
  </si>
  <si>
    <t>II.4</t>
  </si>
  <si>
    <t>Entidad débil depende de otra</t>
  </si>
  <si>
    <t>II.5</t>
  </si>
  <si>
    <t>DDL se confirma sin COMMIT</t>
  </si>
  <si>
    <t>III.1</t>
  </si>
  <si>
    <t>Modelo E/R biblioteca</t>
  </si>
  <si>
    <t>III.2</t>
  </si>
  <si>
    <t>SQL creación tablas</t>
  </si>
  <si>
    <t>PREGUNTAS</t>
  </si>
  <si>
    <t>REQUERIMIENTO</t>
  </si>
  <si>
    <t>INDICADOR DE DESEMPEÑO</t>
  </si>
  <si>
    <t>R 4.1</t>
  </si>
  <si>
    <t>IE1</t>
  </si>
  <si>
    <t>IE2</t>
  </si>
  <si>
    <t>IE3</t>
  </si>
  <si>
    <t>IE4</t>
  </si>
  <si>
    <t>No será evaluado</t>
  </si>
  <si>
    <t>IE5</t>
  </si>
  <si>
    <t>R 4.4</t>
  </si>
  <si>
    <t>IE6</t>
  </si>
  <si>
    <t>IE7</t>
  </si>
  <si>
    <t>IE8</t>
  </si>
  <si>
    <t>IE9</t>
  </si>
  <si>
    <t>R 4.5</t>
  </si>
  <si>
    <t>R 4.3</t>
  </si>
  <si>
    <t>R 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</si>
</sst>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NumberForma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numFmt numFmtId="0" formatCode="General"/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C7CE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802BD4-098A-40A8-B48E-2E30903447BD}" name="Tabla1" displayName="Tabla1" ref="A1:F24" totalsRowCount="1" headerRowDxfId="19" dataDxfId="18">
  <autoFilter ref="A1:F23" xr:uid="{2C802BD4-098A-40A8-B48E-2E30903447BD}"/>
  <tableColumns count="6">
    <tableColumn id="9" xr3:uid="{9BDCB5EE-BD9D-44C2-8F4D-E9BA8968F677}" name="Pregunta" dataDxfId="16" totalsRowDxfId="7"/>
    <tableColumn id="8" xr3:uid="{7A52A02E-EE67-47F1-A374-DDFF80FFAA87}" name="De que trata" dataDxfId="15" totalsRowDxfId="6"/>
    <tableColumn id="5" xr3:uid="{BAA444B4-986D-4F14-A380-BD96B329628C}" name="I1" dataDxfId="14" totalsRowDxfId="5"/>
    <tableColumn id="4" xr3:uid="{5BCB6F90-4D37-403A-BEB2-90CBC81D1786}" name="I2" dataDxfId="13" totalsRowDxfId="4"/>
    <tableColumn id="3" xr3:uid="{D36E221E-20E6-4DDE-A6B9-7184387F86F8}" name="puntos" totalsRowFunction="sum" dataDxfId="12" totalsRowDxfId="3"/>
    <tableColumn id="7" xr3:uid="{D91536BE-371C-4493-8DF6-03F5BB598D55}" name="Individual" dataDxfId="1" totalsRowDxfId="2">
      <calculatedColumnFormula>Tabla1[[#This Row],[puntos]]/COUNTA(Tabla1[[#This Row],[I1]:[I2]])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F09A87-6C2A-4A7A-BDEF-BF0A394539F5}" name="Tabla2" displayName="Tabla2" ref="H1:K25" totalsRowCount="1">
  <autoFilter ref="H1:K24" xr:uid="{C8F09A87-6C2A-4A7A-BDEF-BF0A394539F5}"/>
  <tableColumns count="4">
    <tableColumn id="1" xr3:uid="{7C20B1E0-F463-4175-A610-856A30DE5382}" name="INDICADOR"/>
    <tableColumn id="2" xr3:uid="{2709A4BF-730E-4D06-BBCB-D1EED09D49C6}" name="%" totalsRowFunction="sum" dataDxfId="17" totalsRowDxfId="9">
      <calculatedColumnFormula>SUMIF(Tabla1[I1],Tabla2[[#This Row],[INDICADOR]],Tabla1[Individual])+SUMIF(Tabla1[I2],Tabla2[[#This Row],[INDICADOR]],Tabla1[Individual])</calculatedColumnFormula>
    </tableColumn>
    <tableColumn id="5" xr3:uid="{8E953C26-2B11-43F4-8A7B-10372FC47C41}" name="Columna1" dataDxfId="10" totalsRowDxfId="8">
      <calculatedColumnFormula>COUNTIF(Tabla1[I1],Tabla2[[#This Row],[INDICADOR]])+COUNTIF(Tabla1[I2],Tabla2[[#This Row],[INDICADOR]])</calculatedColumnFormula>
    </tableColumn>
    <tableColumn id="4" xr3:uid="{283E2E34-1CD6-4A41-A139-706E49A57526}" name="PREGUNTAS" dataDxfId="11">
      <calculatedColumnFormula array="1">IF(Tabla2[[#This Row],[%]]&lt;&gt;0,_xlfn.TEXTJOIN(", ", TRUE(), _xlfn._xlws.FILTER(Tabla1[Pregunta], (Tabla1[I1]=Tabla2[[#This Row],[INDICADOR]]) + (Tabla1[I2]=Tabla2[[#This Row],[INDICADOR]]))),"")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opLeftCell="B1" workbookViewId="0">
      <selection activeCell="I23" sqref="I23"/>
    </sheetView>
  </sheetViews>
  <sheetFormatPr baseColWidth="10" defaultColWidth="8.7265625" defaultRowHeight="14.5" x14ac:dyDescent="0.35"/>
  <cols>
    <col min="1" max="1" width="13" bestFit="1" customWidth="1"/>
    <col min="2" max="2" width="46.90625" customWidth="1"/>
    <col min="3" max="4" width="5.453125" style="6" customWidth="1"/>
    <col min="6" max="6" width="10.453125" customWidth="1"/>
    <col min="8" max="8" width="12.453125" customWidth="1"/>
    <col min="11" max="11" width="34.36328125" bestFit="1" customWidth="1"/>
  </cols>
  <sheetData>
    <row r="1" spans="1:11" x14ac:dyDescent="0.35">
      <c r="A1" s="3" t="s">
        <v>0</v>
      </c>
      <c r="B1" s="3" t="s">
        <v>31</v>
      </c>
      <c r="C1" s="7" t="s">
        <v>27</v>
      </c>
      <c r="D1" s="7" t="s">
        <v>28</v>
      </c>
      <c r="E1" s="1" t="s">
        <v>7</v>
      </c>
      <c r="F1" s="1" t="s">
        <v>30</v>
      </c>
      <c r="H1" t="s">
        <v>8</v>
      </c>
      <c r="I1" t="s">
        <v>29</v>
      </c>
      <c r="J1" t="s">
        <v>26</v>
      </c>
      <c r="K1" t="s">
        <v>76</v>
      </c>
    </row>
    <row r="2" spans="1:11" x14ac:dyDescent="0.35">
      <c r="A2" s="6" t="s">
        <v>32</v>
      </c>
      <c r="B2" s="4" t="s">
        <v>33</v>
      </c>
      <c r="C2" s="5" t="s">
        <v>2</v>
      </c>
      <c r="D2" s="6" t="s">
        <v>11</v>
      </c>
      <c r="E2" s="2">
        <v>3</v>
      </c>
      <c r="F2" s="2">
        <f>Tabla1[[#This Row],[puntos]]/COUNTA(Tabla1[[#This Row],[I1]:[I2]])</f>
        <v>1.5</v>
      </c>
      <c r="H2" t="s">
        <v>2</v>
      </c>
      <c r="I2">
        <f>SUMIF(Tabla1[I1],Tabla2[[#This Row],[INDICADOR]],Tabla1[Individual])+SUMIF(Tabla1[I2],Tabla2[[#This Row],[INDICADOR]],Tabla1[Individual])</f>
        <v>20</v>
      </c>
      <c r="J2">
        <f>COUNTIF(Tabla1[I1],Tabla2[[#This Row],[INDICADOR]])+COUNTIF(Tabla1[I2],Tabla2[[#This Row],[INDICADOR]])</f>
        <v>10</v>
      </c>
      <c r="K2" t="str" cm="1">
        <f t="array" ref="K2">IF(Tabla2[[#This Row],[%]]&lt;&gt;0,_xlfn.TEXTJOIN(", ", TRUE(), _xlfn._xlws.FILTER(Tabla1[Pregunta], (Tabla1[I1]=Tabla2[[#This Row],[INDICADOR]]) + (Tabla1[I2]=Tabla2[[#This Row],[INDICADOR]]))),"")</f>
        <v>I.1, I.3, I.6, I.7, I.8, I.10, I.11, I.14, II.2, II.4</v>
      </c>
    </row>
    <row r="3" spans="1:11" x14ac:dyDescent="0.35">
      <c r="A3" s="6" t="s">
        <v>34</v>
      </c>
      <c r="B3" s="4" t="s">
        <v>35</v>
      </c>
      <c r="C3" s="5" t="s">
        <v>1</v>
      </c>
      <c r="E3" s="2">
        <v>3</v>
      </c>
      <c r="F3" s="2">
        <f>Tabla1[[#This Row],[puntos]]/COUNTA(Tabla1[[#This Row],[I1]:[I2]])</f>
        <v>3</v>
      </c>
      <c r="H3" t="s">
        <v>4</v>
      </c>
      <c r="I3">
        <f>SUMIF(Tabla1[I1],Tabla2[[#This Row],[INDICADOR]],Tabla1[Individual])+SUMIF(Tabla1[I2],Tabla2[[#This Row],[INDICADOR]],Tabla1[Individual])</f>
        <v>5</v>
      </c>
      <c r="J3">
        <f>COUNTIF(Tabla1[I1],Tabla2[[#This Row],[INDICADOR]])+COUNTIF(Tabla1[I2],Tabla2[[#This Row],[INDICADOR]])</f>
        <v>2</v>
      </c>
      <c r="K3" t="str" cm="1">
        <f t="array" ref="K3">IF(Tabla2[[#This Row],[%]]&lt;&gt;0,_xlfn.TEXTJOIN(", ", TRUE(), _xlfn._xlws.FILTER(Tabla1[Pregunta], (Tabla1[I1]=Tabla2[[#This Row],[INDICADOR]]) + (Tabla1[I2]=Tabla2[[#This Row],[INDICADOR]]))),"")</f>
        <v>I.5, II.3</v>
      </c>
    </row>
    <row r="4" spans="1:11" x14ac:dyDescent="0.35">
      <c r="A4" s="6" t="s">
        <v>36</v>
      </c>
      <c r="B4" s="4" t="s">
        <v>37</v>
      </c>
      <c r="C4" s="5" t="s">
        <v>2</v>
      </c>
      <c r="E4" s="2">
        <v>3</v>
      </c>
      <c r="F4" s="2">
        <f>Tabla1[[#This Row],[puntos]]/COUNTA(Tabla1[[#This Row],[I1]:[I2]])</f>
        <v>3</v>
      </c>
      <c r="H4" t="s">
        <v>9</v>
      </c>
      <c r="I4">
        <f>SUMIF(Tabla1[I1],Tabla2[[#This Row],[INDICADOR]],Tabla1[Individual])+SUMIF(Tabla1[I2],Tabla2[[#This Row],[INDICADOR]],Tabla1[Individual])</f>
        <v>0</v>
      </c>
      <c r="J4">
        <f>COUNTIF(Tabla1[I1],Tabla2[[#This Row],[INDICADOR]])+COUNTIF(Tabla1[I2],Tabla2[[#This Row],[INDICADOR]])</f>
        <v>0</v>
      </c>
      <c r="K4" t="str" cm="1">
        <f t="array" ref="K4">IF(Tabla2[[#This Row],[%]]&lt;&gt;0,_xlfn.TEXTJOIN(", ", TRUE(), _xlfn._xlws.FILTER(Tabla1[Pregunta], (Tabla1[I1]=Tabla2[[#This Row],[INDICADOR]]) + (Tabla1[I2]=Tabla2[[#This Row],[INDICADOR]]))),"")</f>
        <v/>
      </c>
    </row>
    <row r="5" spans="1:11" x14ac:dyDescent="0.35">
      <c r="A5" s="6" t="s">
        <v>38</v>
      </c>
      <c r="B5" s="4" t="s">
        <v>39</v>
      </c>
      <c r="C5" s="5" t="s">
        <v>3</v>
      </c>
      <c r="E5" s="2">
        <v>3</v>
      </c>
      <c r="F5" s="2">
        <f>Tabla1[[#This Row],[puntos]]/COUNTA(Tabla1[[#This Row],[I1]:[I2]])</f>
        <v>3</v>
      </c>
      <c r="H5" t="s">
        <v>5</v>
      </c>
      <c r="I5">
        <f>SUMIF(Tabla1[I1],Tabla2[[#This Row],[INDICADOR]],Tabla1[Individual])+SUMIF(Tabla1[I2],Tabla2[[#This Row],[INDICADOR]],Tabla1[Individual])</f>
        <v>13</v>
      </c>
      <c r="J5">
        <f>COUNTIF(Tabla1[I1],Tabla2[[#This Row],[INDICADOR]])+COUNTIF(Tabla1[I2],Tabla2[[#This Row],[INDICADOR]])</f>
        <v>2</v>
      </c>
      <c r="K5" t="str" cm="1">
        <f t="array" ref="K5">IF(Tabla2[[#This Row],[%]]&lt;&gt;0,_xlfn.TEXTJOIN(", ", TRUE(), _xlfn._xlws.FILTER(Tabla1[Pregunta], (Tabla1[I1]=Tabla2[[#This Row],[INDICADOR]]) + (Tabla1[I2]=Tabla2[[#This Row],[INDICADOR]]))),"")</f>
        <v>I.9, III.2</v>
      </c>
    </row>
    <row r="6" spans="1:11" x14ac:dyDescent="0.35">
      <c r="A6" s="6" t="s">
        <v>40</v>
      </c>
      <c r="B6" s="4" t="s">
        <v>41</v>
      </c>
      <c r="C6" s="5" t="s">
        <v>4</v>
      </c>
      <c r="E6" s="2">
        <v>3</v>
      </c>
      <c r="F6" s="2">
        <f>Tabla1[[#This Row],[puntos]]/COUNTA(Tabla1[[#This Row],[I1]:[I2]])</f>
        <v>3</v>
      </c>
      <c r="H6" t="s">
        <v>1</v>
      </c>
      <c r="I6">
        <f>SUMIF(Tabla1[I1],Tabla2[[#This Row],[INDICADOR]],Tabla1[Individual])+SUMIF(Tabla1[I2],Tabla2[[#This Row],[INDICADOR]],Tabla1[Individual])</f>
        <v>3</v>
      </c>
      <c r="J6">
        <f>COUNTIF(Tabla1[I1],Tabla2[[#This Row],[INDICADOR]])+COUNTIF(Tabla1[I2],Tabla2[[#This Row],[INDICADOR]])</f>
        <v>1</v>
      </c>
      <c r="K6" t="str" cm="1">
        <f t="array" ref="K6">IF(Tabla2[[#This Row],[%]]&lt;&gt;0,_xlfn.TEXTJOIN(", ", TRUE(), _xlfn._xlws.FILTER(Tabla1[Pregunta], (Tabla1[I1]=Tabla2[[#This Row],[INDICADOR]]) + (Tabla1[I2]=Tabla2[[#This Row],[INDICADOR]]))),"")</f>
        <v>I.2</v>
      </c>
    </row>
    <row r="7" spans="1:11" x14ac:dyDescent="0.35">
      <c r="A7" s="6" t="s">
        <v>42</v>
      </c>
      <c r="B7" s="4" t="s">
        <v>43</v>
      </c>
      <c r="C7" s="5" t="s">
        <v>2</v>
      </c>
      <c r="D7" s="6" t="s">
        <v>11</v>
      </c>
      <c r="E7" s="2">
        <v>3</v>
      </c>
      <c r="F7" s="2">
        <f>Tabla1[[#This Row],[puntos]]/COUNTA(Tabla1[[#This Row],[I1]:[I2]])</f>
        <v>1.5</v>
      </c>
      <c r="H7" t="s">
        <v>10</v>
      </c>
      <c r="I7">
        <f>SUMIF(Tabla1[I1],Tabla2[[#This Row],[INDICADOR]],Tabla1[Individual])+SUMIF(Tabla1[I2],Tabla2[[#This Row],[INDICADOR]],Tabla1[Individual])</f>
        <v>0</v>
      </c>
      <c r="J7">
        <f>COUNTIF(Tabla1[I1],Tabla2[[#This Row],[INDICADOR]])+COUNTIF(Tabla1[I2],Tabla2[[#This Row],[INDICADOR]])</f>
        <v>0</v>
      </c>
      <c r="K7" t="str" cm="1">
        <f t="array" ref="K7">IF(Tabla2[[#This Row],[%]]&lt;&gt;0,_xlfn.TEXTJOIN(", ", TRUE(), _xlfn._xlws.FILTER(Tabla1[Pregunta], (Tabla1[I1]=Tabla2[[#This Row],[INDICADOR]]) + (Tabla1[I2]=Tabla2[[#This Row],[INDICADOR]]))),"")</f>
        <v/>
      </c>
    </row>
    <row r="8" spans="1:11" x14ac:dyDescent="0.35">
      <c r="A8" s="6" t="s">
        <v>44</v>
      </c>
      <c r="B8" s="4" t="s">
        <v>45</v>
      </c>
      <c r="C8" s="5" t="s">
        <v>2</v>
      </c>
      <c r="D8" s="6" t="s">
        <v>11</v>
      </c>
      <c r="E8" s="2">
        <v>3</v>
      </c>
      <c r="F8" s="2">
        <f>Tabla1[[#This Row],[puntos]]/COUNTA(Tabla1[[#This Row],[I1]:[I2]])</f>
        <v>1.5</v>
      </c>
      <c r="H8" t="s">
        <v>12</v>
      </c>
      <c r="I8">
        <f>SUMIF(Tabla1[I1],Tabla2[[#This Row],[INDICADOR]],Tabla1[Individual])+SUMIF(Tabla1[I2],Tabla2[[#This Row],[INDICADOR]],Tabla1[Individual])</f>
        <v>0</v>
      </c>
      <c r="J8">
        <f>COUNTIF(Tabla1[I1],Tabla2[[#This Row],[INDICADOR]])+COUNTIF(Tabla1[I2],Tabla2[[#This Row],[INDICADOR]])</f>
        <v>0</v>
      </c>
      <c r="K8" t="str" cm="1">
        <f t="array" ref="K8">IF(Tabla2[[#This Row],[%]]&lt;&gt;0,_xlfn.TEXTJOIN(", ", TRUE(), _xlfn._xlws.FILTER(Tabla1[Pregunta], (Tabla1[I1]=Tabla2[[#This Row],[INDICADOR]]) + (Tabla1[I2]=Tabla2[[#This Row],[INDICADOR]]))),"")</f>
        <v/>
      </c>
    </row>
    <row r="9" spans="1:11" x14ac:dyDescent="0.35">
      <c r="A9" s="6" t="s">
        <v>46</v>
      </c>
      <c r="B9" s="4" t="s">
        <v>47</v>
      </c>
      <c r="C9" s="5" t="s">
        <v>2</v>
      </c>
      <c r="E9" s="2">
        <v>3</v>
      </c>
      <c r="F9" s="2">
        <f>Tabla1[[#This Row],[puntos]]/COUNTA(Tabla1[[#This Row],[I1]:[I2]])</f>
        <v>3</v>
      </c>
      <c r="H9" t="s">
        <v>13</v>
      </c>
      <c r="I9">
        <f>SUMIF(Tabla1[I1],Tabla2[[#This Row],[INDICADOR]],Tabla1[Individual])+SUMIF(Tabla1[I2],Tabla2[[#This Row],[INDICADOR]],Tabla1[Individual])</f>
        <v>0</v>
      </c>
      <c r="J9">
        <f>COUNTIF(Tabla1[I1],Tabla2[[#This Row],[INDICADOR]])+COUNTIF(Tabla1[I2],Tabla2[[#This Row],[INDICADOR]])</f>
        <v>0</v>
      </c>
      <c r="K9" t="str" cm="1">
        <f t="array" ref="K9">IF(Tabla2[[#This Row],[%]]&lt;&gt;0,_xlfn.TEXTJOIN(", ", TRUE(), _xlfn._xlws.FILTER(Tabla1[Pregunta], (Tabla1[I1]=Tabla2[[#This Row],[INDICADOR]]) + (Tabla1[I2]=Tabla2[[#This Row],[INDICADOR]]))),"")</f>
        <v/>
      </c>
    </row>
    <row r="10" spans="1:11" x14ac:dyDescent="0.35">
      <c r="A10" s="6" t="s">
        <v>48</v>
      </c>
      <c r="B10" s="4" t="s">
        <v>49</v>
      </c>
      <c r="C10" s="5" t="s">
        <v>5</v>
      </c>
      <c r="E10" s="2">
        <v>3</v>
      </c>
      <c r="F10" s="2">
        <f>Tabla1[[#This Row],[puntos]]/COUNTA(Tabla1[[#This Row],[I1]:[I2]])</f>
        <v>3</v>
      </c>
      <c r="H10" t="s">
        <v>11</v>
      </c>
      <c r="I10">
        <f>SUMIF(Tabla1[I1],Tabla2[[#This Row],[INDICADOR]],Tabla1[Individual])+SUMIF(Tabla1[I2],Tabla2[[#This Row],[INDICADOR]],Tabla1[Individual])</f>
        <v>19.5</v>
      </c>
      <c r="J10">
        <f>COUNTIF(Tabla1[I1],Tabla2[[#This Row],[INDICADOR]])+COUNTIF(Tabla1[I2],Tabla2[[#This Row],[INDICADOR]])</f>
        <v>6</v>
      </c>
      <c r="K10" t="str" cm="1">
        <f t="array" ref="K10">IF(Tabla2[[#This Row],[%]]&lt;&gt;0,_xlfn.TEXTJOIN(", ", TRUE(), _xlfn._xlws.FILTER(Tabla1[Pregunta], (Tabla1[I1]=Tabla2[[#This Row],[INDICADOR]]) + (Tabla1[I2]=Tabla2[[#This Row],[INDICADOR]]))),"")</f>
        <v>I.1, I.6, I.7, I.11, II.4, III.1</v>
      </c>
    </row>
    <row r="11" spans="1:11" x14ac:dyDescent="0.35">
      <c r="A11" s="6" t="s">
        <v>50</v>
      </c>
      <c r="B11" s="4" t="s">
        <v>51</v>
      </c>
      <c r="C11" s="5" t="s">
        <v>2</v>
      </c>
      <c r="E11" s="2">
        <v>3</v>
      </c>
      <c r="F11" s="2">
        <f>Tabla1[[#This Row],[puntos]]/COUNTA(Tabla1[[#This Row],[I1]:[I2]])</f>
        <v>3</v>
      </c>
      <c r="H11" t="s">
        <v>3</v>
      </c>
      <c r="I11">
        <f>SUMIF(Tabla1[I1],Tabla2[[#This Row],[INDICADOR]],Tabla1[Individual])+SUMIF(Tabla1[I2],Tabla2[[#This Row],[INDICADOR]],Tabla1[Individual])</f>
        <v>5</v>
      </c>
      <c r="J11">
        <f>COUNTIF(Tabla1[I1],Tabla2[[#This Row],[INDICADOR]])+COUNTIF(Tabla1[I2],Tabla2[[#This Row],[INDICADOR]])</f>
        <v>2</v>
      </c>
      <c r="K11" t="str" cm="1">
        <f t="array" ref="K11">IF(Tabla2[[#This Row],[%]]&lt;&gt;0,_xlfn.TEXTJOIN(", ", TRUE(), _xlfn._xlws.FILTER(Tabla1[Pregunta], (Tabla1[I1]=Tabla2[[#This Row],[INDICADOR]]) + (Tabla1[I2]=Tabla2[[#This Row],[INDICADOR]]))),"")</f>
        <v>I.4, II.5</v>
      </c>
    </row>
    <row r="12" spans="1:11" x14ac:dyDescent="0.35">
      <c r="A12" s="6" t="s">
        <v>52</v>
      </c>
      <c r="B12" s="4" t="s">
        <v>53</v>
      </c>
      <c r="C12" s="5" t="s">
        <v>2</v>
      </c>
      <c r="D12" s="6" t="s">
        <v>11</v>
      </c>
      <c r="E12" s="2">
        <v>3</v>
      </c>
      <c r="F12" s="2">
        <f>Tabla1[[#This Row],[puntos]]/COUNTA(Tabla1[[#This Row],[I1]:[I2]])</f>
        <v>1.5</v>
      </c>
      <c r="H12" t="s">
        <v>14</v>
      </c>
      <c r="I12">
        <f>SUMIF(Tabla1[I1],Tabla2[[#This Row],[INDICADOR]],Tabla1[Individual])+SUMIF(Tabla1[I2],Tabla2[[#This Row],[INDICADOR]],Tabla1[Individual])</f>
        <v>0</v>
      </c>
      <c r="J12">
        <f>COUNTIF(Tabla1[I1],Tabla2[[#This Row],[INDICADOR]])+COUNTIF(Tabla1[I2],Tabla2[[#This Row],[INDICADOR]])</f>
        <v>0</v>
      </c>
      <c r="K12" t="str" cm="1">
        <f t="array" ref="K12">IF(Tabla2[[#This Row],[%]]&lt;&gt;0,_xlfn.TEXTJOIN(", ", TRUE(), _xlfn._xlws.FILTER(Tabla1[Pregunta], (Tabla1[I1]=Tabla2[[#This Row],[INDICADOR]]) + (Tabla1[I2]=Tabla2[[#This Row],[INDICADOR]]))),"")</f>
        <v/>
      </c>
    </row>
    <row r="13" spans="1:11" x14ac:dyDescent="0.35">
      <c r="A13" s="6" t="s">
        <v>54</v>
      </c>
      <c r="B13" s="4" t="s">
        <v>55</v>
      </c>
      <c r="C13" s="5" t="s">
        <v>19</v>
      </c>
      <c r="D13" s="6" t="s">
        <v>20</v>
      </c>
      <c r="E13" s="2">
        <v>3</v>
      </c>
      <c r="F13" s="2">
        <f>Tabla1[[#This Row],[puntos]]/COUNTA(Tabla1[[#This Row],[I1]:[I2]])</f>
        <v>1.5</v>
      </c>
      <c r="H13" t="s">
        <v>15</v>
      </c>
      <c r="I13">
        <f>SUMIF(Tabla1[I1],Tabla2[[#This Row],[INDICADOR]],Tabla1[Individual])+SUMIF(Tabla1[I2],Tabla2[[#This Row],[INDICADOR]],Tabla1[Individual])</f>
        <v>0</v>
      </c>
      <c r="J13">
        <f>COUNTIF(Tabla1[I1],Tabla2[[#This Row],[INDICADOR]])+COUNTIF(Tabla1[I2],Tabla2[[#This Row],[INDICADOR]])</f>
        <v>0</v>
      </c>
      <c r="K13" t="str" cm="1">
        <f t="array" ref="K13">IF(Tabla2[[#This Row],[%]]&lt;&gt;0,_xlfn.TEXTJOIN(", ", TRUE(), _xlfn._xlws.FILTER(Tabla1[Pregunta], (Tabla1[I1]=Tabla2[[#This Row],[INDICADOR]]) + (Tabla1[I2]=Tabla2[[#This Row],[INDICADOR]]))),"")</f>
        <v/>
      </c>
    </row>
    <row r="14" spans="1:11" x14ac:dyDescent="0.35">
      <c r="A14" s="6" t="s">
        <v>56</v>
      </c>
      <c r="B14" s="4" t="s">
        <v>57</v>
      </c>
      <c r="C14" s="5" t="s">
        <v>6</v>
      </c>
      <c r="E14" s="2">
        <v>3</v>
      </c>
      <c r="F14" s="2">
        <f>Tabla1[[#This Row],[puntos]]/COUNTA(Tabla1[[#This Row],[I1]:[I2]])</f>
        <v>3</v>
      </c>
      <c r="H14" t="s">
        <v>16</v>
      </c>
      <c r="I14">
        <f>SUMIF(Tabla1[I1],Tabla2[[#This Row],[INDICADOR]],Tabla1[Individual])+SUMIF(Tabla1[I2],Tabla2[[#This Row],[INDICADOR]],Tabla1[Individual])</f>
        <v>0</v>
      </c>
      <c r="J14">
        <f>COUNTIF(Tabla1[I1],Tabla2[[#This Row],[INDICADOR]])+COUNTIF(Tabla1[I2],Tabla2[[#This Row],[INDICADOR]])</f>
        <v>0</v>
      </c>
      <c r="K14" t="str" cm="1">
        <f t="array" ref="K14">IF(Tabla2[[#This Row],[%]]&lt;&gt;0,_xlfn.TEXTJOIN(", ", TRUE(), _xlfn._xlws.FILTER(Tabla1[Pregunta], (Tabla1[I1]=Tabla2[[#This Row],[INDICADOR]]) + (Tabla1[I2]=Tabla2[[#This Row],[INDICADOR]]))),"")</f>
        <v/>
      </c>
    </row>
    <row r="15" spans="1:11" x14ac:dyDescent="0.35">
      <c r="A15" s="6" t="s">
        <v>58</v>
      </c>
      <c r="B15" s="4" t="s">
        <v>59</v>
      </c>
      <c r="C15" s="5" t="s">
        <v>2</v>
      </c>
      <c r="E15" s="2">
        <v>3</v>
      </c>
      <c r="F15" s="2">
        <f>Tabla1[[#This Row],[puntos]]/COUNTA(Tabla1[[#This Row],[I1]:[I2]])</f>
        <v>3</v>
      </c>
      <c r="H15" t="s">
        <v>17</v>
      </c>
      <c r="I15">
        <f>SUMIF(Tabla1[I1],Tabla2[[#This Row],[INDICADOR]],Tabla1[Individual])+SUMIF(Tabla1[I2],Tabla2[[#This Row],[INDICADOR]],Tabla1[Individual])</f>
        <v>0</v>
      </c>
      <c r="J15">
        <f>COUNTIF(Tabla1[I1],Tabla2[[#This Row],[INDICADOR]])+COUNTIF(Tabla1[I2],Tabla2[[#This Row],[INDICADOR]])</f>
        <v>0</v>
      </c>
      <c r="K15" t="str" cm="1">
        <f t="array" ref="K15">IF(Tabla2[[#This Row],[%]]&lt;&gt;0,_xlfn.TEXTJOIN(", ", TRUE(), _xlfn._xlws.FILTER(Tabla1[Pregunta], (Tabla1[I1]=Tabla2[[#This Row],[INDICADOR]]) + (Tabla1[I2]=Tabla2[[#This Row],[INDICADOR]]))),"")</f>
        <v/>
      </c>
    </row>
    <row r="16" spans="1:11" x14ac:dyDescent="0.35">
      <c r="A16" s="6" t="s">
        <v>60</v>
      </c>
      <c r="B16" s="4" t="s">
        <v>61</v>
      </c>
      <c r="C16" s="5" t="s">
        <v>18</v>
      </c>
      <c r="D16" s="6" t="s">
        <v>19</v>
      </c>
      <c r="E16" s="2">
        <v>3</v>
      </c>
      <c r="F16" s="2">
        <f>Tabla1[[#This Row],[puntos]]/COUNTA(Tabla1[[#This Row],[I1]:[I2]])</f>
        <v>1.5</v>
      </c>
      <c r="H16" t="s">
        <v>6</v>
      </c>
      <c r="I16">
        <f>SUMIF(Tabla1[I1],Tabla2[[#This Row],[INDICADOR]],Tabla1[Individual])+SUMIF(Tabla1[I2],Tabla2[[#This Row],[INDICADOR]],Tabla1[Individual])</f>
        <v>5</v>
      </c>
      <c r="J16">
        <f>COUNTIF(Tabla1[I1],Tabla2[[#This Row],[INDICADOR]])+COUNTIF(Tabla1[I2],Tabla2[[#This Row],[INDICADOR]])</f>
        <v>2</v>
      </c>
      <c r="K16" t="str" cm="1">
        <f t="array" ref="K16">IF(Tabla2[[#This Row],[%]]&lt;&gt;0,_xlfn.TEXTJOIN(", ", TRUE(), _xlfn._xlws.FILTER(Tabla1[Pregunta], (Tabla1[I1]=Tabla2[[#This Row],[INDICADOR]]) + (Tabla1[I2]=Tabla2[[#This Row],[INDICADOR]]))),"")</f>
        <v>I.13, II.1</v>
      </c>
    </row>
    <row r="17" spans="1:11" x14ac:dyDescent="0.35">
      <c r="A17" s="6" t="s">
        <v>62</v>
      </c>
      <c r="B17" s="4" t="s">
        <v>63</v>
      </c>
      <c r="C17" s="5" t="s">
        <v>6</v>
      </c>
      <c r="E17" s="2">
        <v>2</v>
      </c>
      <c r="F17" s="2">
        <f>Tabla1[[#This Row],[puntos]]/COUNTA(Tabla1[[#This Row],[I1]:[I2]])</f>
        <v>2</v>
      </c>
      <c r="H17" t="s">
        <v>18</v>
      </c>
      <c r="I17">
        <f>SUMIF(Tabla1[I1],Tabla2[[#This Row],[INDICADOR]],Tabla1[Individual])+SUMIF(Tabla1[I2],Tabla2[[#This Row],[INDICADOR]],Tabla1[Individual])</f>
        <v>1.5</v>
      </c>
      <c r="J17">
        <f>COUNTIF(Tabla1[I1],Tabla2[[#This Row],[INDICADOR]])+COUNTIF(Tabla1[I2],Tabla2[[#This Row],[INDICADOR]])</f>
        <v>1</v>
      </c>
      <c r="K17" t="str" cm="1">
        <f t="array" ref="K17">IF(Tabla2[[#This Row],[%]]&lt;&gt;0,_xlfn.TEXTJOIN(", ", TRUE(), _xlfn._xlws.FILTER(Tabla1[Pregunta], (Tabla1[I1]=Tabla2[[#This Row],[INDICADOR]]) + (Tabla1[I2]=Tabla2[[#This Row],[INDICADOR]]))),"")</f>
        <v>I.15</v>
      </c>
    </row>
    <row r="18" spans="1:11" x14ac:dyDescent="0.35">
      <c r="A18" s="6" t="s">
        <v>64</v>
      </c>
      <c r="B18" s="4" t="s">
        <v>65</v>
      </c>
      <c r="C18" s="5" t="s">
        <v>2</v>
      </c>
      <c r="D18" s="6" t="s">
        <v>20</v>
      </c>
      <c r="E18" s="2">
        <v>2</v>
      </c>
      <c r="F18" s="2">
        <f>Tabla1[[#This Row],[puntos]]/COUNTA(Tabla1[[#This Row],[I1]:[I2]])</f>
        <v>1</v>
      </c>
      <c r="H18" t="s">
        <v>19</v>
      </c>
      <c r="I18">
        <f>SUMIF(Tabla1[I1],Tabla2[[#This Row],[INDICADOR]],Tabla1[Individual])+SUMIF(Tabla1[I2],Tabla2[[#This Row],[INDICADOR]],Tabla1[Individual])</f>
        <v>15.5</v>
      </c>
      <c r="J18">
        <f>COUNTIF(Tabla1[I1],Tabla2[[#This Row],[INDICADOR]])+COUNTIF(Tabla1[I2],Tabla2[[#This Row],[INDICADOR]])</f>
        <v>3</v>
      </c>
      <c r="K18" t="str" cm="1">
        <f t="array" ref="K18">IF(Tabla2[[#This Row],[%]]&lt;&gt;0,_xlfn.TEXTJOIN(", ", TRUE(), _xlfn._xlws.FILTER(Tabla1[Pregunta], (Tabla1[I1]=Tabla2[[#This Row],[INDICADOR]]) + (Tabla1[I2]=Tabla2[[#This Row],[INDICADOR]]))),"")</f>
        <v>I.12, I.15, III.1</v>
      </c>
    </row>
    <row r="19" spans="1:11" x14ac:dyDescent="0.35">
      <c r="A19" s="6" t="s">
        <v>66</v>
      </c>
      <c r="B19" s="4" t="s">
        <v>67</v>
      </c>
      <c r="C19" s="5" t="s">
        <v>4</v>
      </c>
      <c r="E19" s="2">
        <v>2</v>
      </c>
      <c r="F19" s="2">
        <f>Tabla1[[#This Row],[puntos]]/COUNTA(Tabla1[[#This Row],[I1]:[I2]])</f>
        <v>2</v>
      </c>
      <c r="H19" t="s">
        <v>20</v>
      </c>
      <c r="I19">
        <f>SUMIF(Tabla1[I1],Tabla2[[#This Row],[INDICADOR]],Tabla1[Individual])+SUMIF(Tabla1[I2],Tabla2[[#This Row],[INDICADOR]],Tabla1[Individual])</f>
        <v>12.5</v>
      </c>
      <c r="J19">
        <f>COUNTIF(Tabla1[I1],Tabla2[[#This Row],[INDICADOR]])+COUNTIF(Tabla1[I2],Tabla2[[#This Row],[INDICADOR]])</f>
        <v>3</v>
      </c>
      <c r="K19" t="str" cm="1">
        <f t="array" ref="K19">IF(Tabla2[[#This Row],[%]]&lt;&gt;0,_xlfn.TEXTJOIN(", ", TRUE(), _xlfn._xlws.FILTER(Tabla1[Pregunta], (Tabla1[I1]=Tabla2[[#This Row],[INDICADOR]]) + (Tabla1[I2]=Tabla2[[#This Row],[INDICADOR]]))),"")</f>
        <v>I.12, II.2, III.2</v>
      </c>
    </row>
    <row r="20" spans="1:11" x14ac:dyDescent="0.35">
      <c r="A20" s="6" t="s">
        <v>68</v>
      </c>
      <c r="B20" s="4" t="s">
        <v>69</v>
      </c>
      <c r="C20" s="5" t="s">
        <v>2</v>
      </c>
      <c r="D20" s="6" t="s">
        <v>11</v>
      </c>
      <c r="E20" s="2">
        <v>2</v>
      </c>
      <c r="F20" s="2">
        <f>Tabla1[[#This Row],[puntos]]/COUNTA(Tabla1[[#This Row],[I1]:[I2]])</f>
        <v>1</v>
      </c>
      <c r="H20" t="s">
        <v>21</v>
      </c>
      <c r="I20">
        <f>SUMIF(Tabla1[I1],Tabla2[[#This Row],[INDICADOR]],Tabla1[Individual])+SUMIF(Tabla1[I2],Tabla2[[#This Row],[INDICADOR]],Tabla1[Individual])</f>
        <v>0</v>
      </c>
      <c r="J20">
        <f>COUNTIF(Tabla1[I1],Tabla2[[#This Row],[INDICADOR]])+COUNTIF(Tabla1[I2],Tabla2[[#This Row],[INDICADOR]])</f>
        <v>0</v>
      </c>
      <c r="K20" t="str" cm="1">
        <f t="array" ref="K20">IF(Tabla2[[#This Row],[%]]&lt;&gt;0,_xlfn.TEXTJOIN(", ", TRUE(), _xlfn._xlws.FILTER(Tabla1[Pregunta], (Tabla1[I1]=Tabla2[[#This Row],[INDICADOR]]) + (Tabla1[I2]=Tabla2[[#This Row],[INDICADOR]]))),"")</f>
        <v/>
      </c>
    </row>
    <row r="21" spans="1:11" x14ac:dyDescent="0.35">
      <c r="A21" s="6" t="s">
        <v>70</v>
      </c>
      <c r="B21" s="4" t="s">
        <v>71</v>
      </c>
      <c r="C21" s="5" t="s">
        <v>3</v>
      </c>
      <c r="E21" s="2">
        <v>2</v>
      </c>
      <c r="F21" s="2">
        <f>Tabla1[[#This Row],[puntos]]/COUNTA(Tabla1[[#This Row],[I1]:[I2]])</f>
        <v>2</v>
      </c>
      <c r="H21" t="s">
        <v>22</v>
      </c>
      <c r="I21">
        <f>SUMIF(Tabla1[I1],Tabla2[[#This Row],[INDICADOR]],Tabla1[Individual])+SUMIF(Tabla1[I2],Tabla2[[#This Row],[INDICADOR]],Tabla1[Individual])</f>
        <v>0</v>
      </c>
      <c r="J21">
        <f>COUNTIF(Tabla1[I1],Tabla2[[#This Row],[INDICADOR]])+COUNTIF(Tabla1[I2],Tabla2[[#This Row],[INDICADOR]])</f>
        <v>0</v>
      </c>
      <c r="K21" t="str" cm="1">
        <f t="array" ref="K21">IF(Tabla2[[#This Row],[%]]&lt;&gt;0,_xlfn.TEXTJOIN(", ", TRUE(), _xlfn._xlws.FILTER(Tabla1[Pregunta], (Tabla1[I1]=Tabla2[[#This Row],[INDICADOR]]) + (Tabla1[I2]=Tabla2[[#This Row],[INDICADOR]]))),"")</f>
        <v/>
      </c>
    </row>
    <row r="22" spans="1:11" x14ac:dyDescent="0.35">
      <c r="A22" s="6" t="s">
        <v>72</v>
      </c>
      <c r="B22" s="4" t="s">
        <v>73</v>
      </c>
      <c r="C22" s="5" t="s">
        <v>19</v>
      </c>
      <c r="D22" s="6" t="s">
        <v>11</v>
      </c>
      <c r="E22" s="2">
        <v>25</v>
      </c>
      <c r="F22" s="2">
        <f>Tabla1[[#This Row],[puntos]]/COUNTA(Tabla1[[#This Row],[I1]:[I2]])</f>
        <v>12.5</v>
      </c>
      <c r="H22" t="s">
        <v>23</v>
      </c>
      <c r="I22">
        <f>SUMIF(Tabla1[I1],Tabla2[[#This Row],[INDICADOR]],Tabla1[Individual])+SUMIF(Tabla1[I2],Tabla2[[#This Row],[INDICADOR]],Tabla1[Individual])</f>
        <v>0</v>
      </c>
      <c r="J22">
        <f>COUNTIF(Tabla1[I1],Tabla2[[#This Row],[INDICADOR]])+COUNTIF(Tabla1[I2],Tabla2[[#This Row],[INDICADOR]])</f>
        <v>0</v>
      </c>
      <c r="K22" t="str" cm="1">
        <f t="array" ref="K22">IF(Tabla2[[#This Row],[%]]&lt;&gt;0,_xlfn.TEXTJOIN(", ", TRUE(), _xlfn._xlws.FILTER(Tabla1[Pregunta], (Tabla1[I1]=Tabla2[[#This Row],[INDICADOR]]) + (Tabla1[I2]=Tabla2[[#This Row],[INDICADOR]]))),"")</f>
        <v/>
      </c>
    </row>
    <row r="23" spans="1:11" x14ac:dyDescent="0.35">
      <c r="A23" s="6" t="s">
        <v>74</v>
      </c>
      <c r="B23" s="4" t="s">
        <v>75</v>
      </c>
      <c r="C23" s="5" t="s">
        <v>5</v>
      </c>
      <c r="D23" s="6" t="s">
        <v>20</v>
      </c>
      <c r="E23" s="2">
        <v>20</v>
      </c>
      <c r="F23" s="2">
        <f>Tabla1[[#This Row],[puntos]]/COUNTA(Tabla1[[#This Row],[I1]:[I2]])</f>
        <v>10</v>
      </c>
      <c r="H23" t="s">
        <v>24</v>
      </c>
      <c r="I23">
        <f>SUMIF(Tabla1[I1],Tabla2[[#This Row],[INDICADOR]],Tabla1[Individual])+SUMIF(Tabla1[I2],Tabla2[[#This Row],[INDICADOR]],Tabla1[Individual])</f>
        <v>0</v>
      </c>
      <c r="J23">
        <f>COUNTIF(Tabla1[I1],Tabla2[[#This Row],[INDICADOR]])+COUNTIF(Tabla1[I2],Tabla2[[#This Row],[INDICADOR]])</f>
        <v>0</v>
      </c>
      <c r="K23" t="str" cm="1">
        <f t="array" ref="K23">IF(Tabla2[[#This Row],[%]]&lt;&gt;0,_xlfn.TEXTJOIN(", ", TRUE(), _xlfn._xlws.FILTER(Tabla1[Pregunta], (Tabla1[I1]=Tabla2[[#This Row],[INDICADOR]]) + (Tabla1[I2]=Tabla2[[#This Row],[INDICADOR]]))),"")</f>
        <v/>
      </c>
    </row>
    <row r="24" spans="1:11" x14ac:dyDescent="0.35">
      <c r="A24" s="4"/>
      <c r="B24" s="4"/>
      <c r="E24" s="2">
        <f>SUBTOTAL(109,Tabla1[puntos])</f>
        <v>100</v>
      </c>
      <c r="F24" s="6"/>
      <c r="H24" t="s">
        <v>25</v>
      </c>
      <c r="I24">
        <f>SUMIF(Tabla1[I1],Tabla2[[#This Row],[INDICADOR]],Tabla1[Individual])+SUMIF(Tabla1[I2],Tabla2[[#This Row],[INDICADOR]],Tabla1[Individual])</f>
        <v>0</v>
      </c>
      <c r="J24">
        <f>COUNTIF(Tabla1[I1],Tabla2[[#This Row],[INDICADOR]])+COUNTIF(Tabla1[I2],Tabla2[[#This Row],[INDICADOR]])</f>
        <v>0</v>
      </c>
      <c r="K24" t="str" cm="1">
        <f t="array" ref="K24">IF(Tabla2[[#This Row],[%]]&lt;&gt;0,_xlfn.TEXTJOIN(", ", TRUE(), _xlfn._xlws.FILTER(Tabla1[Pregunta], (Tabla1[I1]=Tabla2[[#This Row],[INDICADOR]]) + (Tabla1[I2]=Tabla2[[#This Row],[INDICADOR]]))),"")</f>
        <v/>
      </c>
    </row>
    <row r="25" spans="1:11" x14ac:dyDescent="0.35">
      <c r="A25" s="4"/>
      <c r="B25" s="4"/>
      <c r="I25" s="8">
        <f>SUBTOTAL(109,Tabla2[%])</f>
        <v>100</v>
      </c>
      <c r="J25" s="8"/>
    </row>
    <row r="26" spans="1:11" x14ac:dyDescent="0.35">
      <c r="A26" s="4"/>
      <c r="B26" s="4"/>
    </row>
    <row r="27" spans="1:11" x14ac:dyDescent="0.35">
      <c r="A27" s="4"/>
      <c r="B27" s="4"/>
    </row>
  </sheetData>
  <phoneticPr fontId="2" type="noConversion"/>
  <conditionalFormatting sqref="H2:K24">
    <cfRule type="expression" dxfId="0" priority="1">
      <formula>$I2=0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BC6C6-3FCF-41C2-B1DA-E11E5C1FB283}">
  <dimension ref="A1:D37"/>
  <sheetViews>
    <sheetView tabSelected="1" workbookViewId="0">
      <selection activeCell="C1" sqref="C1"/>
    </sheetView>
  </sheetViews>
  <sheetFormatPr baseColWidth="10" defaultRowHeight="14.5" x14ac:dyDescent="0.35"/>
  <cols>
    <col min="1" max="1" width="15.08984375" bestFit="1" customWidth="1"/>
    <col min="2" max="2" width="14.81640625" customWidth="1"/>
    <col min="3" max="3" width="6.1796875" customWidth="1"/>
    <col min="4" max="4" width="36.6328125" customWidth="1"/>
    <col min="5" max="5" width="11.1796875" bestFit="1" customWidth="1"/>
  </cols>
  <sheetData>
    <row r="1" spans="1:4" ht="29" x14ac:dyDescent="0.35">
      <c r="A1" s="11" t="s">
        <v>77</v>
      </c>
      <c r="B1" s="12" t="s">
        <v>78</v>
      </c>
      <c r="C1" s="11" t="s">
        <v>29</v>
      </c>
      <c r="D1" s="11" t="s">
        <v>76</v>
      </c>
    </row>
    <row r="2" spans="1:4" x14ac:dyDescent="0.35">
      <c r="A2" s="13" t="s">
        <v>79</v>
      </c>
      <c r="B2" s="11" t="s">
        <v>80</v>
      </c>
      <c r="C2" s="10">
        <f>preguntas!I2</f>
        <v>20</v>
      </c>
      <c r="D2" s="9" t="str">
        <f>preguntas!K2</f>
        <v>I.1, I.3, I.6, I.7, I.8, I.10, I.11, I.14, II.2, II.4</v>
      </c>
    </row>
    <row r="3" spans="1:4" x14ac:dyDescent="0.35">
      <c r="A3" s="13"/>
      <c r="B3" s="11" t="s">
        <v>81</v>
      </c>
      <c r="C3" s="10">
        <f>preguntas!I3</f>
        <v>5</v>
      </c>
      <c r="D3" s="9" t="str">
        <f>preguntas!K3</f>
        <v>I.5, II.3</v>
      </c>
    </row>
    <row r="4" spans="1:4" x14ac:dyDescent="0.35">
      <c r="A4" s="13"/>
      <c r="B4" s="11" t="s">
        <v>82</v>
      </c>
      <c r="C4" s="10"/>
      <c r="D4" s="14" t="s">
        <v>84</v>
      </c>
    </row>
    <row r="5" spans="1:4" x14ac:dyDescent="0.35">
      <c r="C5" s="15">
        <f>SUM(C2:C4)</f>
        <v>25</v>
      </c>
    </row>
    <row r="7" spans="1:4" ht="29" x14ac:dyDescent="0.35">
      <c r="A7" s="11" t="s">
        <v>77</v>
      </c>
      <c r="B7" s="12" t="s">
        <v>78</v>
      </c>
      <c r="C7" s="11" t="s">
        <v>29</v>
      </c>
      <c r="D7" s="11" t="s">
        <v>76</v>
      </c>
    </row>
    <row r="8" spans="1:4" x14ac:dyDescent="0.35">
      <c r="A8" s="13" t="s">
        <v>93</v>
      </c>
      <c r="B8" s="11" t="s">
        <v>80</v>
      </c>
      <c r="C8" s="10">
        <f>preguntas!I5</f>
        <v>13</v>
      </c>
      <c r="D8" s="9" t="str">
        <f>preguntas!K5</f>
        <v>I.9, III.2</v>
      </c>
    </row>
    <row r="9" spans="1:4" x14ac:dyDescent="0.35">
      <c r="A9" s="13"/>
      <c r="B9" s="11" t="s">
        <v>81</v>
      </c>
      <c r="C9" s="10">
        <f>preguntas!I6</f>
        <v>3</v>
      </c>
      <c r="D9" s="9" t="str">
        <f>preguntas!K6</f>
        <v>I.2</v>
      </c>
    </row>
    <row r="10" spans="1:4" x14ac:dyDescent="0.35">
      <c r="A10" s="13"/>
      <c r="B10" s="11" t="s">
        <v>82</v>
      </c>
      <c r="C10" s="10">
        <f>preguntas!I7</f>
        <v>0</v>
      </c>
      <c r="D10" s="9" t="str">
        <f>preguntas!K7</f>
        <v/>
      </c>
    </row>
    <row r="11" spans="1:4" x14ac:dyDescent="0.35">
      <c r="C11" s="15">
        <f>SUM(C8:C10)</f>
        <v>16</v>
      </c>
    </row>
    <row r="13" spans="1:4" ht="29" x14ac:dyDescent="0.35">
      <c r="A13" s="11" t="s">
        <v>77</v>
      </c>
      <c r="B13" s="12" t="s">
        <v>78</v>
      </c>
      <c r="C13" s="11" t="s">
        <v>29</v>
      </c>
      <c r="D13" s="11" t="s">
        <v>76</v>
      </c>
    </row>
    <row r="14" spans="1:4" x14ac:dyDescent="0.35">
      <c r="A14" s="13" t="s">
        <v>92</v>
      </c>
      <c r="B14" s="11" t="s">
        <v>80</v>
      </c>
      <c r="C14" s="10">
        <f>preguntas!I8</f>
        <v>0</v>
      </c>
      <c r="D14" s="9" t="str">
        <f>preguntas!K8</f>
        <v/>
      </c>
    </row>
    <row r="15" spans="1:4" x14ac:dyDescent="0.35">
      <c r="A15" s="13"/>
      <c r="B15" s="11" t="s">
        <v>81</v>
      </c>
      <c r="C15" s="10">
        <f>preguntas!I9</f>
        <v>0</v>
      </c>
      <c r="D15" s="9" t="str">
        <f>preguntas!K9</f>
        <v/>
      </c>
    </row>
    <row r="16" spans="1:4" x14ac:dyDescent="0.35">
      <c r="A16" s="13"/>
      <c r="B16" s="11" t="s">
        <v>82</v>
      </c>
      <c r="C16" s="10">
        <f>preguntas!I10</f>
        <v>19.5</v>
      </c>
      <c r="D16" s="9" t="str">
        <f>preguntas!K10</f>
        <v>I.1, I.6, I.7, I.11, II.4, III.1</v>
      </c>
    </row>
    <row r="17" spans="1:4" x14ac:dyDescent="0.35">
      <c r="C17" s="15">
        <f>SUM(C14:C16)</f>
        <v>19.5</v>
      </c>
    </row>
    <row r="19" spans="1:4" ht="29" x14ac:dyDescent="0.35">
      <c r="A19" s="11" t="s">
        <v>77</v>
      </c>
      <c r="B19" s="12" t="s">
        <v>78</v>
      </c>
      <c r="C19" s="11" t="s">
        <v>29</v>
      </c>
      <c r="D19" s="11" t="s">
        <v>76</v>
      </c>
    </row>
    <row r="20" spans="1:4" x14ac:dyDescent="0.35">
      <c r="A20" s="13" t="s">
        <v>86</v>
      </c>
      <c r="B20" s="11" t="s">
        <v>80</v>
      </c>
      <c r="C20" s="10">
        <f>preguntas!I11</f>
        <v>5</v>
      </c>
      <c r="D20" s="9" t="str">
        <f>preguntas!K11</f>
        <v>I.4, II.5</v>
      </c>
    </row>
    <row r="21" spans="1:4" x14ac:dyDescent="0.35">
      <c r="A21" s="13"/>
      <c r="B21" s="11" t="s">
        <v>81</v>
      </c>
      <c r="C21" s="10">
        <f>preguntas!I12</f>
        <v>0</v>
      </c>
      <c r="D21" s="9" t="str">
        <f>preguntas!K12</f>
        <v/>
      </c>
    </row>
    <row r="22" spans="1:4" x14ac:dyDescent="0.35">
      <c r="A22" s="13"/>
      <c r="B22" s="11" t="s">
        <v>82</v>
      </c>
      <c r="C22" s="10">
        <f>preguntas!I13</f>
        <v>0</v>
      </c>
      <c r="D22" s="9" t="str">
        <f>preguntas!K13</f>
        <v/>
      </c>
    </row>
    <row r="23" spans="1:4" x14ac:dyDescent="0.35">
      <c r="A23" s="13"/>
      <c r="B23" s="11" t="s">
        <v>83</v>
      </c>
      <c r="C23" s="10">
        <f>preguntas!I14</f>
        <v>0</v>
      </c>
      <c r="D23" s="9" t="str">
        <f>preguntas!K14</f>
        <v/>
      </c>
    </row>
    <row r="24" spans="1:4" x14ac:dyDescent="0.35">
      <c r="A24" s="13"/>
      <c r="B24" s="11" t="s">
        <v>85</v>
      </c>
      <c r="C24" s="10">
        <f>preguntas!I15</f>
        <v>0</v>
      </c>
      <c r="D24" s="9" t="str">
        <f>preguntas!K15</f>
        <v/>
      </c>
    </row>
    <row r="25" spans="1:4" x14ac:dyDescent="0.35">
      <c r="C25" s="15">
        <f>SUM(C20:C24)</f>
        <v>5</v>
      </c>
    </row>
    <row r="27" spans="1:4" ht="29" x14ac:dyDescent="0.35">
      <c r="A27" s="11" t="s">
        <v>77</v>
      </c>
      <c r="B27" s="12" t="s">
        <v>78</v>
      </c>
      <c r="C27" s="11" t="s">
        <v>29</v>
      </c>
      <c r="D27" s="11" t="s">
        <v>76</v>
      </c>
    </row>
    <row r="28" spans="1:4" x14ac:dyDescent="0.35">
      <c r="A28" s="13" t="s">
        <v>91</v>
      </c>
      <c r="B28" s="11" t="s">
        <v>80</v>
      </c>
      <c r="C28" s="10">
        <f>preguntas!I16</f>
        <v>5</v>
      </c>
      <c r="D28" s="9" t="str">
        <f>preguntas!K16</f>
        <v>I.13, II.1</v>
      </c>
    </row>
    <row r="29" spans="1:4" x14ac:dyDescent="0.35">
      <c r="A29" s="13"/>
      <c r="B29" s="11" t="s">
        <v>81</v>
      </c>
      <c r="C29" s="10">
        <f>preguntas!I17</f>
        <v>1.5</v>
      </c>
      <c r="D29" s="9" t="str">
        <f>preguntas!K17</f>
        <v>I.15</v>
      </c>
    </row>
    <row r="30" spans="1:4" x14ac:dyDescent="0.35">
      <c r="A30" s="13"/>
      <c r="B30" s="11" t="s">
        <v>82</v>
      </c>
      <c r="C30" s="10">
        <f>preguntas!I18</f>
        <v>15.5</v>
      </c>
      <c r="D30" s="9" t="str">
        <f>preguntas!K18</f>
        <v>I.12, I.15, III.1</v>
      </c>
    </row>
    <row r="31" spans="1:4" x14ac:dyDescent="0.35">
      <c r="A31" s="13"/>
      <c r="B31" s="11" t="s">
        <v>83</v>
      </c>
      <c r="C31" s="10">
        <f>preguntas!I19</f>
        <v>12.5</v>
      </c>
      <c r="D31" s="9" t="str">
        <f>preguntas!K19</f>
        <v>I.12, II.2, III.2</v>
      </c>
    </row>
    <row r="32" spans="1:4" x14ac:dyDescent="0.35">
      <c r="A32" s="13"/>
      <c r="B32" s="11" t="s">
        <v>85</v>
      </c>
      <c r="C32" s="10">
        <f>preguntas!I20</f>
        <v>0</v>
      </c>
      <c r="D32" s="9" t="str">
        <f>preguntas!K20</f>
        <v/>
      </c>
    </row>
    <row r="33" spans="1:4" x14ac:dyDescent="0.35">
      <c r="A33" s="13"/>
      <c r="B33" s="11" t="s">
        <v>87</v>
      </c>
      <c r="C33" s="10">
        <f>preguntas!I21</f>
        <v>0</v>
      </c>
      <c r="D33" s="9" t="str">
        <f>preguntas!K21</f>
        <v/>
      </c>
    </row>
    <row r="34" spans="1:4" x14ac:dyDescent="0.35">
      <c r="A34" s="13"/>
      <c r="B34" s="11" t="s">
        <v>88</v>
      </c>
      <c r="C34" s="10">
        <f>preguntas!I22</f>
        <v>0</v>
      </c>
      <c r="D34" s="9" t="str">
        <f>preguntas!K22</f>
        <v/>
      </c>
    </row>
    <row r="35" spans="1:4" x14ac:dyDescent="0.35">
      <c r="A35" s="13"/>
      <c r="B35" s="11" t="s">
        <v>89</v>
      </c>
      <c r="C35" s="10">
        <f>preguntas!I23</f>
        <v>0</v>
      </c>
      <c r="D35" s="9" t="str">
        <f>preguntas!K23</f>
        <v/>
      </c>
    </row>
    <row r="36" spans="1:4" x14ac:dyDescent="0.35">
      <c r="A36" s="13"/>
      <c r="B36" s="11" t="s">
        <v>90</v>
      </c>
      <c r="C36" s="10">
        <f>preguntas!I24</f>
        <v>0</v>
      </c>
      <c r="D36" s="9" t="str">
        <f>preguntas!K24</f>
        <v/>
      </c>
    </row>
    <row r="37" spans="1:4" x14ac:dyDescent="0.35">
      <c r="C37" s="15">
        <f>SUM(C28:C36)</f>
        <v>34.5</v>
      </c>
    </row>
  </sheetData>
  <mergeCells count="5">
    <mergeCell ref="A2:A4"/>
    <mergeCell ref="A8:A10"/>
    <mergeCell ref="A14:A16"/>
    <mergeCell ref="A20:A24"/>
    <mergeCell ref="A28:A3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preguntas</vt:lpstr>
      <vt:lpstr>Detalle de 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Varas</dc:creator>
  <cp:lastModifiedBy>Pablo Varas</cp:lastModifiedBy>
  <dcterms:created xsi:type="dcterms:W3CDTF">2015-06-05T18:19:34Z</dcterms:created>
  <dcterms:modified xsi:type="dcterms:W3CDTF">2025-09-01T14:20:03Z</dcterms:modified>
</cp:coreProperties>
</file>